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tract5.sharepoint.com/sites/ALXTrainers/Shared Documents/Microsoft Excel/Excel - Formulas &amp; Functions 1 Course/"/>
    </mc:Choice>
  </mc:AlternateContent>
  <xr:revisionPtr revIDLastSave="0" documentId="8_{1606A125-1D3C-4E53-BB42-4D46FCD3C78B}" xr6:coauthVersionLast="47" xr6:coauthVersionMax="47" xr10:uidLastSave="{00000000-0000-0000-0000-000000000000}"/>
  <bookViews>
    <workbookView xWindow="13905" yWindow="-16320" windowWidth="29040" windowHeight="15720" firstSheet="2" xr2:uid="{D46A1B63-C433-4272-BE50-51CC89DCBFFF}"/>
  </bookViews>
  <sheets>
    <sheet name="IF (1) " sheetId="2" r:id="rId1"/>
    <sheet name=" IF (2)" sheetId="1" r:id="rId2"/>
    <sheet name="IF (Practice)" sheetId="3" r:id="rId3"/>
    <sheet name="AND, OR" sheetId="6" r:id="rId4"/>
    <sheet name="Intro - Functions" sheetId="4" r:id="rId5"/>
    <sheet name="Practice Functions" sheetId="5" r:id="rId6"/>
    <sheet name="More Practice" sheetId="10" r:id="rId7"/>
    <sheet name="Which Function" sheetId="7" r:id="rId8"/>
  </sheets>
  <definedNames>
    <definedName name="_xlnm._FilterDatabase" localSheetId="1" hidden="1">' IF (2)'!$A$1:$K$2</definedName>
    <definedName name="_xlnm._FilterDatabase" localSheetId="3" hidden="1">'AND, OR'!$A$1:$O$170</definedName>
    <definedName name="_xlnm._FilterDatabase" localSheetId="2" hidden="1">'IF (Practice)'!$A$1:$F$26</definedName>
    <definedName name="_xlnm._FilterDatabase" localSheetId="4" hidden="1">'Intro - Functions'!$A$1:$E$51</definedName>
    <definedName name="_xlnm._FilterDatabase" localSheetId="6" hidden="1">'More Practice'!$A$3:$I$3</definedName>
    <definedName name="_xlnm._FilterDatabase" localSheetId="5" hidden="1">'Practice Functions'!$A$1:$H$91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I96" i="6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I83" i="6"/>
  <c r="I74" i="6"/>
  <c r="I26" i="6"/>
  <c r="I36" i="6"/>
  <c r="I68" i="6"/>
  <c r="I149" i="6"/>
  <c r="I91" i="6"/>
  <c r="I93" i="6"/>
  <c r="I32" i="6"/>
  <c r="I111" i="6"/>
  <c r="I90" i="6"/>
  <c r="I48" i="6"/>
  <c r="I49" i="6"/>
  <c r="I99" i="6"/>
  <c r="I46" i="6"/>
  <c r="I121" i="6"/>
  <c r="I50" i="6"/>
  <c r="I61" i="6"/>
</calcChain>
</file>

<file path=xl/sharedStrings.xml><?xml version="1.0" encoding="utf-8"?>
<sst xmlns="http://schemas.openxmlformats.org/spreadsheetml/2006/main" count="2387" uniqueCount="341">
  <si>
    <t>Expenses</t>
  </si>
  <si>
    <t>Budgeted</t>
  </si>
  <si>
    <t>Actual</t>
  </si>
  <si>
    <t>Status</t>
  </si>
  <si>
    <t>Amount Over</t>
  </si>
  <si>
    <t>Flights</t>
  </si>
  <si>
    <t>Accommodation</t>
  </si>
  <si>
    <t>Car</t>
  </si>
  <si>
    <t>Food</t>
  </si>
  <si>
    <t>Taxi</t>
  </si>
  <si>
    <t>First Name</t>
  </si>
  <si>
    <t>Surname</t>
  </si>
  <si>
    <t>Grade</t>
  </si>
  <si>
    <t>Hours</t>
  </si>
  <si>
    <t>FT/PT</t>
  </si>
  <si>
    <t>Salary</t>
  </si>
  <si>
    <t>Yrs Service</t>
  </si>
  <si>
    <t>Target</t>
  </si>
  <si>
    <t>Bonus</t>
  </si>
  <si>
    <t>Holiday</t>
  </si>
  <si>
    <t>Pension</t>
  </si>
  <si>
    <t xml:space="preserve">Alex </t>
  </si>
  <si>
    <t>Howard</t>
  </si>
  <si>
    <t>Not Met</t>
  </si>
  <si>
    <t>Brian</t>
  </si>
  <si>
    <t>Smith</t>
  </si>
  <si>
    <t>Met</t>
  </si>
  <si>
    <t>Carmel</t>
  </si>
  <si>
    <t>George</t>
  </si>
  <si>
    <t>Daniel</t>
  </si>
  <si>
    <t>Ellis</t>
  </si>
  <si>
    <t>David</t>
  </si>
  <si>
    <t>Jenkins</t>
  </si>
  <si>
    <t>Emma</t>
  </si>
  <si>
    <t>Turner</t>
  </si>
  <si>
    <t>John</t>
  </si>
  <si>
    <t>Michel</t>
  </si>
  <si>
    <t>n/a</t>
  </si>
  <si>
    <t>Kathryn</t>
  </si>
  <si>
    <t>Shail</t>
  </si>
  <si>
    <t xml:space="preserve">Kirsten </t>
  </si>
  <si>
    <t>Hampton</t>
  </si>
  <si>
    <t>Sally</t>
  </si>
  <si>
    <t>Morel</t>
  </si>
  <si>
    <t>Susan</t>
  </si>
  <si>
    <t>Bright</t>
  </si>
  <si>
    <t>Love</t>
  </si>
  <si>
    <t>Student No.</t>
  </si>
  <si>
    <t>Name</t>
  </si>
  <si>
    <t>Course</t>
  </si>
  <si>
    <t>Test Score</t>
  </si>
  <si>
    <t>Pass/Fail</t>
  </si>
  <si>
    <t>Trevor McDonald</t>
  </si>
  <si>
    <t>Multivariate Calculus</t>
  </si>
  <si>
    <t>John Keynes</t>
  </si>
  <si>
    <t>PHP Development</t>
  </si>
  <si>
    <t>Elizabeth David</t>
  </si>
  <si>
    <t>Ernest Hemingway</t>
  </si>
  <si>
    <t>Requirement Engineering</t>
  </si>
  <si>
    <t>Peter Sellers</t>
  </si>
  <si>
    <t>Software Engineering</t>
  </si>
  <si>
    <t>Grace Kelly</t>
  </si>
  <si>
    <t>Oscar Wild</t>
  </si>
  <si>
    <t>Jack Jones</t>
  </si>
  <si>
    <t>Rosa Parks</t>
  </si>
  <si>
    <t>Julie Andrews</t>
  </si>
  <si>
    <t>Computer Networks</t>
  </si>
  <si>
    <t>George Orwell</t>
  </si>
  <si>
    <t>Relational DBMS</t>
  </si>
  <si>
    <t>Bill Oddie</t>
  </si>
  <si>
    <t>Louis Pasteur</t>
  </si>
  <si>
    <t>Microsoft Dot Net Platform</t>
  </si>
  <si>
    <t>Keith Floyd</t>
  </si>
  <si>
    <t>Data Communication</t>
  </si>
  <si>
    <t>Emmeline Pankhurst</t>
  </si>
  <si>
    <t>Leo Tolstoy</t>
  </si>
  <si>
    <t>HTMI &amp; Scripting</t>
  </si>
  <si>
    <t>Ludwig Beethoven</t>
  </si>
  <si>
    <t>George Best</t>
  </si>
  <si>
    <t>John Paul</t>
  </si>
  <si>
    <t>Usain Bolt</t>
  </si>
  <si>
    <t>Nicolas Cage</t>
  </si>
  <si>
    <t>Mahatma Gandhi</t>
  </si>
  <si>
    <t>Software Architechture</t>
  </si>
  <si>
    <t>Henry Ford</t>
  </si>
  <si>
    <t>Roger Federer</t>
  </si>
  <si>
    <t>&gt;=</t>
  </si>
  <si>
    <t>Distinction</t>
  </si>
  <si>
    <t>Merit</t>
  </si>
  <si>
    <t>Pass</t>
  </si>
  <si>
    <t>Fail</t>
  </si>
  <si>
    <t>Client Type</t>
  </si>
  <si>
    <t>Jurisdiction</t>
  </si>
  <si>
    <t>Director</t>
  </si>
  <si>
    <t>Admin</t>
  </si>
  <si>
    <t>Passport</t>
  </si>
  <si>
    <t>Utility Bill</t>
  </si>
  <si>
    <t>Signature</t>
  </si>
  <si>
    <t>Opening Bal</t>
  </si>
  <si>
    <t>Date Due</t>
  </si>
  <si>
    <t>Econo Trust</t>
  </si>
  <si>
    <t>Brown</t>
  </si>
  <si>
    <t>CJ</t>
  </si>
  <si>
    <t>Yes</t>
  </si>
  <si>
    <t>YES</t>
  </si>
  <si>
    <t>NO</t>
  </si>
  <si>
    <t>FINTECH REGISTERED</t>
  </si>
  <si>
    <t>JSY</t>
  </si>
  <si>
    <t>CMC</t>
  </si>
  <si>
    <t>ABC Company</t>
  </si>
  <si>
    <t>Sunny Administration</t>
  </si>
  <si>
    <t>Cayman</t>
  </si>
  <si>
    <t>WALKERS</t>
  </si>
  <si>
    <t>Butels</t>
  </si>
  <si>
    <t>EF</t>
  </si>
  <si>
    <t>De La Haye</t>
  </si>
  <si>
    <t>US</t>
  </si>
  <si>
    <t>Fage</t>
  </si>
  <si>
    <t>Harker</t>
  </si>
  <si>
    <t>GSY</t>
  </si>
  <si>
    <t>KM</t>
  </si>
  <si>
    <t>Harper</t>
  </si>
  <si>
    <t>Hobbs</t>
  </si>
  <si>
    <t>AM</t>
  </si>
  <si>
    <t>Johnson</t>
  </si>
  <si>
    <t>Sunshine LTD PARTNERSHIP</t>
  </si>
  <si>
    <t>Other</t>
  </si>
  <si>
    <t>Jones</t>
  </si>
  <si>
    <t>Le Riche</t>
  </si>
  <si>
    <t>Moore</t>
  </si>
  <si>
    <t>TD</t>
  </si>
  <si>
    <t>Moss</t>
  </si>
  <si>
    <t>Moyles</t>
  </si>
  <si>
    <t>Pane</t>
  </si>
  <si>
    <t>BVI</t>
  </si>
  <si>
    <t>Russia</t>
  </si>
  <si>
    <t>Steadman</t>
  </si>
  <si>
    <t>CDB</t>
  </si>
  <si>
    <t>Business Line</t>
  </si>
  <si>
    <t>Client</t>
  </si>
  <si>
    <t>Relationship Manager</t>
  </si>
  <si>
    <t>Amount Outstanding</t>
  </si>
  <si>
    <t>Invoice Date</t>
  </si>
  <si>
    <t>Consultancy</t>
  </si>
  <si>
    <t>Dandara</t>
  </si>
  <si>
    <t>Ana Smith</t>
  </si>
  <si>
    <t>Answers</t>
  </si>
  <si>
    <t>ABN-AMRO</t>
  </si>
  <si>
    <t>Boots</t>
  </si>
  <si>
    <t>4a</t>
  </si>
  <si>
    <t>4b</t>
  </si>
  <si>
    <t>4c</t>
  </si>
  <si>
    <t>6a</t>
  </si>
  <si>
    <t>Black Trust</t>
  </si>
  <si>
    <t>Becky Jones</t>
  </si>
  <si>
    <t>6b</t>
  </si>
  <si>
    <t>Managed Service</t>
  </si>
  <si>
    <t>Voisins</t>
  </si>
  <si>
    <t>6c</t>
  </si>
  <si>
    <t>Nedbank Private Wealth</t>
  </si>
  <si>
    <t>SoJ</t>
  </si>
  <si>
    <t>James May</t>
  </si>
  <si>
    <t>Project Work</t>
  </si>
  <si>
    <t>EFG Offshore Limited</t>
  </si>
  <si>
    <t>Rathbones</t>
  </si>
  <si>
    <t>Jenny Atlass</t>
  </si>
  <si>
    <t>Royal Bank of Canada</t>
  </si>
  <si>
    <t>Karen Evans</t>
  </si>
  <si>
    <t>First Names</t>
  </si>
  <si>
    <t>Retail</t>
  </si>
  <si>
    <t>JT</t>
  </si>
  <si>
    <t>Mary Blackmore</t>
  </si>
  <si>
    <t>Calligo</t>
  </si>
  <si>
    <t>Capco Trust</t>
  </si>
  <si>
    <t>Paul McGrath</t>
  </si>
  <si>
    <t>Airtel-Vodafone</t>
  </si>
  <si>
    <t>Walkers</t>
  </si>
  <si>
    <t>WHSmiths</t>
  </si>
  <si>
    <t>Minerva</t>
  </si>
  <si>
    <t>Steve Bellows</t>
  </si>
  <si>
    <t>END</t>
  </si>
  <si>
    <t>Flight Date</t>
  </si>
  <si>
    <t>Department</t>
  </si>
  <si>
    <t>Region</t>
  </si>
  <si>
    <t>From</t>
  </si>
  <si>
    <t>To</t>
  </si>
  <si>
    <t>Company</t>
  </si>
  <si>
    <t>Cost</t>
  </si>
  <si>
    <t>COUNT functions</t>
  </si>
  <si>
    <t>Amelia Wright</t>
  </si>
  <si>
    <t>HR</t>
  </si>
  <si>
    <t>Inter-Island</t>
  </si>
  <si>
    <t>Jersey</t>
  </si>
  <si>
    <t>Guernsey</t>
  </si>
  <si>
    <t>Blue Islands</t>
  </si>
  <si>
    <t>COUNTA</t>
  </si>
  <si>
    <t>How many trips have been taken?</t>
  </si>
  <si>
    <t>COUNTIF</t>
  </si>
  <si>
    <t>UK</t>
  </si>
  <si>
    <t>London Gatwick</t>
  </si>
  <si>
    <t>EasyJet</t>
  </si>
  <si>
    <t>How many trips did the HR team take?</t>
  </si>
  <si>
    <t>Gatwick</t>
  </si>
  <si>
    <t>How many trips to Guernsey were made?</t>
  </si>
  <si>
    <t>How many trips did Amelia Wright go on?</t>
  </si>
  <si>
    <t>COUNTIFS</t>
  </si>
  <si>
    <t>How many trips to Jersey were made by people in the Sales team?</t>
  </si>
  <si>
    <t xml:space="preserve">How many trips to Gatwick were made by people in the HR team? </t>
  </si>
  <si>
    <t>How many trips were flown by Blue Islands from Jersey?</t>
  </si>
  <si>
    <t>How many times did the Marketing team fly inter-island?</t>
  </si>
  <si>
    <t>SUM functions</t>
  </si>
  <si>
    <t>SUM</t>
  </si>
  <si>
    <t>How much has been spent on travel</t>
  </si>
  <si>
    <t>Heathrow</t>
  </si>
  <si>
    <t>BA</t>
  </si>
  <si>
    <t>SUMIF</t>
  </si>
  <si>
    <t>B.A.</t>
  </si>
  <si>
    <t>How much did the Product Development team spend on travel?</t>
  </si>
  <si>
    <t>How much did the Finance department spend on travel?</t>
  </si>
  <si>
    <t>How much did Daniel Hawson spend on travel?</t>
  </si>
  <si>
    <t>How much was spent travelling to Gatwick?</t>
  </si>
  <si>
    <t>SUMIFS</t>
  </si>
  <si>
    <t>How much was spent on travelling to Europe by the Sales team?</t>
  </si>
  <si>
    <t>How much did Keeley Stocks spend travelling to Guernsey?</t>
  </si>
  <si>
    <t>Daniel Hawson</t>
  </si>
  <si>
    <t>Finance</t>
  </si>
  <si>
    <t>How much did the Finance team spend travelling to Guernsey?</t>
  </si>
  <si>
    <t>AVERAGE functions</t>
  </si>
  <si>
    <t>AVERAGE</t>
  </si>
  <si>
    <t>What was the average amount spent on travel ?</t>
  </si>
  <si>
    <t>AVERAGEIF</t>
  </si>
  <si>
    <t>What was the average amount spent on travel by the HR team?</t>
  </si>
  <si>
    <t>What was the average amount spent on travel to Guernsey?</t>
  </si>
  <si>
    <t>What was the average amount spent on travel to the UK region?</t>
  </si>
  <si>
    <t>MODE</t>
  </si>
  <si>
    <t>What was the most frequent amount spent on travel?</t>
  </si>
  <si>
    <t>MAX &amp; MIN</t>
  </si>
  <si>
    <t>What was the most expensive flight</t>
  </si>
  <si>
    <t>What was the cheapest flight</t>
  </si>
  <si>
    <t>When was the first flight of the year?</t>
  </si>
  <si>
    <t>What was the last flight of the year?</t>
  </si>
  <si>
    <t>Emily Bradbury</t>
  </si>
  <si>
    <t>John Michel</t>
  </si>
  <si>
    <t>Europe</t>
  </si>
  <si>
    <t>Amsterdam</t>
  </si>
  <si>
    <t>Dublin</t>
  </si>
  <si>
    <t>Keeley Stocks</t>
  </si>
  <si>
    <t>Marketing</t>
  </si>
  <si>
    <t>Niamh O’Sullivan</t>
  </si>
  <si>
    <t>Training</t>
  </si>
  <si>
    <t xml:space="preserve"> London Gatwick</t>
  </si>
  <si>
    <t>Aurigny</t>
  </si>
  <si>
    <t>Rachel James</t>
  </si>
  <si>
    <t>Sales</t>
  </si>
  <si>
    <t>Sarah Harvey</t>
  </si>
  <si>
    <t>Product Development</t>
  </si>
  <si>
    <t>Southampton</t>
  </si>
  <si>
    <t>Steven Wilkes</t>
  </si>
  <si>
    <t>Overtime Hours</t>
  </si>
  <si>
    <t>Staff Info</t>
  </si>
  <si>
    <t>Day</t>
  </si>
  <si>
    <t>Date</t>
  </si>
  <si>
    <t>Staff No.</t>
  </si>
  <si>
    <t>Contract</t>
  </si>
  <si>
    <t>Hours Worked (Standard)</t>
  </si>
  <si>
    <t>Over Time</t>
  </si>
  <si>
    <t>A MCDONALD</t>
  </si>
  <si>
    <t>A MACLEAN</t>
  </si>
  <si>
    <t>Business Dev</t>
  </si>
  <si>
    <t>A THELLAND</t>
  </si>
  <si>
    <t>Legal</t>
  </si>
  <si>
    <t>A VYE</t>
  </si>
  <si>
    <t>Operations</t>
  </si>
  <si>
    <t>A WRIGHT</t>
  </si>
  <si>
    <t>B HASSEL</t>
  </si>
  <si>
    <t>Compliance</t>
  </si>
  <si>
    <t>B WILSON</t>
  </si>
  <si>
    <t>C GREEN</t>
  </si>
  <si>
    <t>C DE SOUSA</t>
  </si>
  <si>
    <t>C DE FREITAS</t>
  </si>
  <si>
    <t>C LE HURAY</t>
  </si>
  <si>
    <t>Co Sec</t>
  </si>
  <si>
    <t>C MANN</t>
  </si>
  <si>
    <t>C MORRIS</t>
  </si>
  <si>
    <t>C YATES</t>
  </si>
  <si>
    <t>D BROWN</t>
  </si>
  <si>
    <t>D ELLIS</t>
  </si>
  <si>
    <t>DATE REC'D</t>
  </si>
  <si>
    <t>COST OF TICKETS</t>
  </si>
  <si>
    <t>FIRST NAME</t>
  </si>
  <si>
    <t>SURNAME</t>
  </si>
  <si>
    <t>DEPARTMENT</t>
  </si>
  <si>
    <t>NO OF GUESTS</t>
  </si>
  <si>
    <t xml:space="preserve">DONATION </t>
  </si>
  <si>
    <t>NO OF VEGETARIANS</t>
  </si>
  <si>
    <t>REQUIRE TRANSPORT?</t>
  </si>
  <si>
    <t>TICKETS SENT?</t>
  </si>
  <si>
    <t>JAMES</t>
  </si>
  <si>
    <t>BROWN</t>
  </si>
  <si>
    <t>SALES</t>
  </si>
  <si>
    <t>HUGH</t>
  </si>
  <si>
    <t>MORRIS</t>
  </si>
  <si>
    <t>R&amp;D</t>
  </si>
  <si>
    <t>SIMON</t>
  </si>
  <si>
    <t>MANTLE</t>
  </si>
  <si>
    <t>MARY</t>
  </si>
  <si>
    <t>HOPKINS</t>
  </si>
  <si>
    <t>SASHA</t>
  </si>
  <si>
    <t>TURNER</t>
  </si>
  <si>
    <t>ADMIN</t>
  </si>
  <si>
    <t>THOMAS</t>
  </si>
  <si>
    <t>MOREL</t>
  </si>
  <si>
    <t>BRIDGET</t>
  </si>
  <si>
    <t>SIMONS</t>
  </si>
  <si>
    <t>CATHY</t>
  </si>
  <si>
    <t>MICHEL</t>
  </si>
  <si>
    <t>BRYAN</t>
  </si>
  <si>
    <t>MARTIN</t>
  </si>
  <si>
    <t>JB</t>
  </si>
  <si>
    <t>LE BOIS</t>
  </si>
  <si>
    <t>KIRSTEN</t>
  </si>
  <si>
    <t>DE SOUSA</t>
  </si>
  <si>
    <t>ALEX</t>
  </si>
  <si>
    <t>GATELY</t>
  </si>
  <si>
    <t>ELEANOR</t>
  </si>
  <si>
    <t>MASON</t>
  </si>
  <si>
    <t>LEGAL</t>
  </si>
  <si>
    <t>KATHRYN</t>
  </si>
  <si>
    <t>HART</t>
  </si>
  <si>
    <t>BOB</t>
  </si>
  <si>
    <t>WINTER</t>
  </si>
  <si>
    <t>JAMIE</t>
  </si>
  <si>
    <t>BRUNS</t>
  </si>
  <si>
    <t>FINANCE</t>
  </si>
  <si>
    <t>SUSAN</t>
  </si>
  <si>
    <t>MORTLEY</t>
  </si>
  <si>
    <t>SHEILA</t>
  </si>
  <si>
    <t>SANTOS</t>
  </si>
  <si>
    <t>ANN</t>
  </si>
  <si>
    <t>FOLKES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</si>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</sst>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£&quot;#,##0.00;[Red]\-&quot;£&quot;#,##0.00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-* #,##0_-;\-* #,##0_-;_-* &quot;-&quot;??_-;_-@_-"/>
    <numFmt numFmtId="168" formatCode="_-[$£-809]* #,##0.00_-;\-[$£-809]* #,##0.00_-;_-[$£-809]* &quot;-&quot;??_-;_-@_-"/>
    <numFmt numFmtId="169" formatCode="ddd"/>
  </numFmts>
  <fonts count="2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sz val="11"/>
      <color indexed="56"/>
      <name val="Calibri"/>
      <family val="2"/>
    </font>
    <font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rebuchet MS"/>
      <family val="2"/>
    </font>
    <font>
      <sz val="10"/>
      <name val="Trebuchet M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5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6" fillId="0" borderId="0"/>
    <xf numFmtId="166" fontId="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3"/>
    <xf numFmtId="0" fontId="9" fillId="0" borderId="0" xfId="4" applyFont="1"/>
    <xf numFmtId="14" fontId="10" fillId="0" borderId="15" xfId="4" applyNumberFormat="1" applyFont="1" applyBorder="1"/>
    <xf numFmtId="0" fontId="10" fillId="0" borderId="4" xfId="4" applyFont="1" applyBorder="1"/>
    <xf numFmtId="166" fontId="10" fillId="0" borderId="16" xfId="5" applyFont="1" applyBorder="1" applyAlignment="1">
      <alignment horizontal="right"/>
    </xf>
    <xf numFmtId="166" fontId="10" fillId="0" borderId="0" xfId="5" applyFont="1" applyAlignment="1">
      <alignment horizontal="right"/>
    </xf>
    <xf numFmtId="0" fontId="12" fillId="0" borderId="0" xfId="4" applyFont="1"/>
    <xf numFmtId="14" fontId="12" fillId="0" borderId="15" xfId="4" applyNumberFormat="1" applyFont="1" applyBorder="1"/>
    <xf numFmtId="0" fontId="12" fillId="0" borderId="4" xfId="4" applyFont="1" applyBorder="1"/>
    <xf numFmtId="166" fontId="12" fillId="0" borderId="16" xfId="5" applyFont="1" applyBorder="1"/>
    <xf numFmtId="166" fontId="12" fillId="0" borderId="0" xfId="5" applyFont="1"/>
    <xf numFmtId="0" fontId="12" fillId="5" borderId="8" xfId="4" applyFont="1" applyFill="1" applyBorder="1"/>
    <xf numFmtId="0" fontId="12" fillId="5" borderId="0" xfId="4" applyFont="1" applyFill="1"/>
    <xf numFmtId="0" fontId="12" fillId="5" borderId="4" xfId="4" applyFont="1" applyFill="1" applyBorder="1"/>
    <xf numFmtId="0" fontId="12" fillId="5" borderId="18" xfId="4" applyFont="1" applyFill="1" applyBorder="1"/>
    <xf numFmtId="0" fontId="12" fillId="5" borderId="9" xfId="4" applyFont="1" applyFill="1" applyBorder="1"/>
    <xf numFmtId="0" fontId="12" fillId="5" borderId="19" xfId="4" applyFont="1" applyFill="1" applyBorder="1"/>
    <xf numFmtId="0" fontId="13" fillId="0" borderId="0" xfId="4" applyFont="1"/>
    <xf numFmtId="166" fontId="13" fillId="0" borderId="0" xfId="5" applyFont="1"/>
    <xf numFmtId="0" fontId="14" fillId="0" borderId="0" xfId="4" applyFont="1"/>
    <xf numFmtId="0" fontId="11" fillId="0" borderId="0" xfId="4" applyFont="1"/>
    <xf numFmtId="0" fontId="10" fillId="0" borderId="0" xfId="4" applyFont="1"/>
    <xf numFmtId="0" fontId="10" fillId="6" borderId="0" xfId="4" applyFont="1" applyFill="1"/>
    <xf numFmtId="0" fontId="12" fillId="6" borderId="0" xfId="4" applyFont="1" applyFill="1"/>
    <xf numFmtId="0" fontId="5" fillId="7" borderId="0" xfId="3" applyFont="1" applyFill="1"/>
    <xf numFmtId="0" fontId="5" fillId="0" borderId="0" xfId="3" applyFont="1"/>
    <xf numFmtId="0" fontId="2" fillId="0" borderId="21" xfId="3" applyBorder="1"/>
    <xf numFmtId="164" fontId="2" fillId="0" borderId="0" xfId="3" applyNumberFormat="1"/>
    <xf numFmtId="14" fontId="2" fillId="0" borderId="22" xfId="3" applyNumberFormat="1" applyBorder="1"/>
    <xf numFmtId="14" fontId="2" fillId="0" borderId="0" xfId="3" applyNumberFormat="1"/>
    <xf numFmtId="0" fontId="2" fillId="0" borderId="1" xfId="3" applyBorder="1"/>
    <xf numFmtId="164" fontId="2" fillId="0" borderId="1" xfId="3" applyNumberFormat="1" applyBorder="1"/>
    <xf numFmtId="0" fontId="15" fillId="8" borderId="1" xfId="3" applyFont="1" applyFill="1" applyBorder="1" applyAlignment="1">
      <alignment horizontal="center" wrapText="1"/>
    </xf>
    <xf numFmtId="0" fontId="15" fillId="0" borderId="0" xfId="3" applyFont="1" applyAlignment="1">
      <alignment wrapText="1"/>
    </xf>
    <xf numFmtId="165" fontId="16" fillId="0" borderId="0" xfId="6"/>
    <xf numFmtId="0" fontId="2" fillId="0" borderId="0" xfId="3" applyAlignment="1">
      <alignment horizontal="center"/>
    </xf>
    <xf numFmtId="0" fontId="2" fillId="0" borderId="4" xfId="3" applyBorder="1"/>
    <xf numFmtId="0" fontId="2" fillId="0" borderId="24" xfId="3" applyBorder="1"/>
    <xf numFmtId="0" fontId="2" fillId="0" borderId="22" xfId="3" applyBorder="1"/>
    <xf numFmtId="0" fontId="2" fillId="4" borderId="4" xfId="3" applyFill="1" applyBorder="1"/>
    <xf numFmtId="0" fontId="2" fillId="0" borderId="11" xfId="3" applyBorder="1"/>
    <xf numFmtId="0" fontId="2" fillId="0" borderId="25" xfId="3" applyBorder="1"/>
    <xf numFmtId="0" fontId="17" fillId="0" borderId="0" xfId="3" applyFont="1"/>
    <xf numFmtId="14" fontId="17" fillId="0" borderId="0" xfId="3" applyNumberFormat="1" applyFont="1"/>
    <xf numFmtId="0" fontId="17" fillId="0" borderId="0" xfId="3" applyFont="1" applyAlignment="1">
      <alignment wrapText="1"/>
    </xf>
    <xf numFmtId="169" fontId="18" fillId="0" borderId="0" xfId="3" applyNumberFormat="1" applyFont="1"/>
    <xf numFmtId="14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0" borderId="0" xfId="3" applyFont="1" applyAlignment="1">
      <alignment horizontal="left"/>
    </xf>
    <xf numFmtId="14" fontId="18" fillId="0" borderId="0" xfId="3" applyNumberFormat="1" applyFont="1"/>
    <xf numFmtId="166" fontId="18" fillId="0" borderId="0" xfId="7" applyFont="1" applyAlignment="1">
      <alignment horizontal="center"/>
    </xf>
    <xf numFmtId="166" fontId="18" fillId="0" borderId="0" xfId="7" applyFont="1"/>
    <xf numFmtId="49" fontId="18" fillId="0" borderId="0" xfId="3" applyNumberFormat="1" applyFont="1" applyAlignment="1">
      <alignment horizontal="center"/>
    </xf>
    <xf numFmtId="0" fontId="20" fillId="0" borderId="0" xfId="3" applyFont="1" applyAlignment="1">
      <alignment horizontal="center"/>
    </xf>
    <xf numFmtId="0" fontId="20" fillId="10" borderId="1" xfId="3" applyFont="1" applyFill="1" applyBorder="1" applyAlignment="1">
      <alignment horizontal="center" vertical="center" wrapText="1"/>
    </xf>
    <xf numFmtId="0" fontId="21" fillId="10" borderId="1" xfId="3" applyFont="1" applyFill="1" applyBorder="1" applyAlignment="1">
      <alignment horizontal="center" vertical="center" wrapText="1"/>
    </xf>
    <xf numFmtId="166" fontId="21" fillId="10" borderId="1" xfId="7" applyFont="1" applyFill="1" applyBorder="1" applyAlignment="1">
      <alignment horizontal="center" vertical="center" wrapText="1"/>
    </xf>
    <xf numFmtId="167" fontId="2" fillId="0" borderId="21" xfId="3" applyNumberFormat="1" applyBorder="1"/>
    <xf numFmtId="167" fontId="2" fillId="0" borderId="0" xfId="3" applyNumberFormat="1"/>
    <xf numFmtId="166" fontId="20" fillId="0" borderId="0" xfId="7" applyFont="1"/>
    <xf numFmtId="0" fontId="18" fillId="10" borderId="0" xfId="3" applyFont="1" applyFill="1" applyAlignment="1">
      <alignment horizontal="left"/>
    </xf>
    <xf numFmtId="0" fontId="2" fillId="10" borderId="0" xfId="3" applyFill="1"/>
    <xf numFmtId="166" fontId="2" fillId="4" borderId="4" xfId="3" applyNumberFormat="1" applyFill="1" applyBorder="1"/>
    <xf numFmtId="0" fontId="4" fillId="0" borderId="0" xfId="3" applyFont="1"/>
    <xf numFmtId="166" fontId="2" fillId="0" borderId="0" xfId="3" applyNumberFormat="1"/>
    <xf numFmtId="167" fontId="2" fillId="0" borderId="23" xfId="3" applyNumberFormat="1" applyBorder="1"/>
    <xf numFmtId="167" fontId="2" fillId="0" borderId="1" xfId="3" applyNumberFormat="1" applyBorder="1"/>
    <xf numFmtId="0" fontId="20" fillId="0" borderId="0" xfId="3" applyFont="1" applyAlignment="1">
      <alignment horizontal="center" vertical="center" wrapText="1"/>
    </xf>
    <xf numFmtId="0" fontId="20" fillId="0" borderId="0" xfId="3" applyFont="1" applyAlignment="1">
      <alignment horizontal="left"/>
    </xf>
    <xf numFmtId="0" fontId="18" fillId="0" borderId="0" xfId="3" applyFont="1"/>
    <xf numFmtId="0" fontId="11" fillId="0" borderId="8" xfId="4" applyFont="1" applyBorder="1"/>
    <xf numFmtId="0" fontId="12" fillId="0" borderId="17" xfId="4" applyFont="1" applyBorder="1"/>
    <xf numFmtId="0" fontId="12" fillId="0" borderId="8" xfId="4" applyFont="1" applyBorder="1"/>
    <xf numFmtId="0" fontId="12" fillId="0" borderId="18" xfId="4" applyFont="1" applyBorder="1"/>
    <xf numFmtId="0" fontId="12" fillId="0" borderId="9" xfId="4" applyFont="1" applyBorder="1"/>
    <xf numFmtId="0" fontId="12" fillId="4" borderId="27" xfId="4" applyFont="1" applyFill="1" applyBorder="1"/>
    <xf numFmtId="0" fontId="12" fillId="4" borderId="28" xfId="4" applyFont="1" applyFill="1" applyBorder="1"/>
    <xf numFmtId="0" fontId="12" fillId="4" borderId="29" xfId="4" applyFont="1" applyFill="1" applyBorder="1"/>
    <xf numFmtId="0" fontId="12" fillId="5" borderId="5" xfId="4" applyFont="1" applyFill="1" applyBorder="1"/>
    <xf numFmtId="0" fontId="12" fillId="5" borderId="30" xfId="4" applyFont="1" applyFill="1" applyBorder="1"/>
    <xf numFmtId="166" fontId="12" fillId="4" borderId="26" xfId="4" applyNumberFormat="1" applyFont="1" applyFill="1" applyBorder="1"/>
    <xf numFmtId="0" fontId="12" fillId="5" borderId="20" xfId="4" applyFont="1" applyFill="1" applyBorder="1"/>
    <xf numFmtId="0" fontId="12" fillId="4" borderId="26" xfId="4" applyFont="1" applyFill="1" applyBorder="1"/>
    <xf numFmtId="166" fontId="8" fillId="11" borderId="13" xfId="5" applyFont="1" applyFill="1" applyBorder="1"/>
    <xf numFmtId="166" fontId="8" fillId="11" borderId="14" xfId="5" applyFont="1" applyFill="1" applyBorder="1" applyAlignment="1">
      <alignment horizontal="center"/>
    </xf>
    <xf numFmtId="166" fontId="8" fillId="11" borderId="7" xfId="5" applyFont="1" applyFill="1" applyBorder="1"/>
    <xf numFmtId="166" fontId="8" fillId="11" borderId="20" xfId="5" applyFont="1" applyFill="1" applyBorder="1" applyAlignment="1">
      <alignment horizontal="center"/>
    </xf>
    <xf numFmtId="0" fontId="11" fillId="12" borderId="13" xfId="4" applyFont="1" applyFill="1" applyBorder="1"/>
    <xf numFmtId="0" fontId="11" fillId="12" borderId="14" xfId="4" applyFont="1" applyFill="1" applyBorder="1" applyAlignment="1">
      <alignment horizontal="center"/>
    </xf>
    <xf numFmtId="0" fontId="4" fillId="9" borderId="0" xfId="3" applyFont="1" applyFill="1"/>
    <xf numFmtId="0" fontId="11" fillId="5" borderId="7" xfId="4" applyFont="1" applyFill="1" applyBorder="1" applyAlignment="1">
      <alignment horizontal="left"/>
    </xf>
    <xf numFmtId="0" fontId="24" fillId="15" borderId="5" xfId="3" applyFont="1" applyFill="1" applyBorder="1"/>
    <xf numFmtId="0" fontId="24" fillId="15" borderId="2" xfId="3" applyFont="1" applyFill="1" applyBorder="1"/>
    <xf numFmtId="0" fontId="24" fillId="15" borderId="3" xfId="3" applyFont="1" applyFill="1" applyBorder="1"/>
    <xf numFmtId="0" fontId="8" fillId="17" borderId="10" xfId="4" applyFont="1" applyFill="1" applyBorder="1"/>
    <xf numFmtId="0" fontId="8" fillId="17" borderId="4" xfId="4" applyFont="1" applyFill="1" applyBorder="1"/>
    <xf numFmtId="166" fontId="8" fillId="17" borderId="4" xfId="5" applyFont="1" applyFill="1" applyBorder="1"/>
    <xf numFmtId="14" fontId="23" fillId="16" borderId="1" xfId="3" applyNumberFormat="1" applyFont="1" applyFill="1" applyBorder="1" applyAlignment="1">
      <alignment horizontal="center" vertical="center" wrapText="1"/>
    </xf>
    <xf numFmtId="49" fontId="23" fillId="16" borderId="1" xfId="3" applyNumberFormat="1" applyFont="1" applyFill="1" applyBorder="1" applyAlignment="1">
      <alignment horizontal="center" vertical="center" wrapText="1"/>
    </xf>
    <xf numFmtId="0" fontId="23" fillId="16" borderId="1" xfId="3" applyFont="1" applyFill="1" applyBorder="1" applyAlignment="1">
      <alignment horizontal="center" vertical="center" wrapText="1"/>
    </xf>
    <xf numFmtId="166" fontId="23" fillId="16" borderId="1" xfId="7" applyFont="1" applyFill="1" applyBorder="1" applyAlignment="1">
      <alignment horizontal="center" vertical="center" wrapText="1"/>
    </xf>
    <xf numFmtId="166" fontId="22" fillId="16" borderId="5" xfId="3" applyNumberFormat="1" applyFont="1" applyFill="1" applyBorder="1"/>
    <xf numFmtId="166" fontId="22" fillId="16" borderId="2" xfId="3" applyNumberFormat="1" applyFont="1" applyFill="1" applyBorder="1"/>
    <xf numFmtId="166" fontId="22" fillId="16" borderId="4" xfId="3" applyNumberFormat="1" applyFont="1" applyFill="1" applyBorder="1"/>
    <xf numFmtId="0" fontId="19" fillId="16" borderId="0" xfId="3" applyFont="1" applyFill="1"/>
    <xf numFmtId="0" fontId="24" fillId="14" borderId="0" xfId="0" applyFont="1" applyFill="1"/>
    <xf numFmtId="0" fontId="25" fillId="0" borderId="0" xfId="0" applyFont="1"/>
    <xf numFmtId="168" fontId="25" fillId="0" borderId="0" xfId="0" applyNumberFormat="1" applyFont="1"/>
    <xf numFmtId="165" fontId="25" fillId="0" borderId="0" xfId="2" applyFont="1"/>
    <xf numFmtId="0" fontId="27" fillId="0" borderId="4" xfId="3" applyFont="1" applyBorder="1" applyAlignment="1">
      <alignment vertical="center"/>
    </xf>
    <xf numFmtId="167" fontId="27" fillId="0" borderId="4" xfId="1" applyNumberFormat="1" applyFont="1" applyBorder="1" applyAlignment="1">
      <alignment vertical="center"/>
    </xf>
    <xf numFmtId="0" fontId="2" fillId="0" borderId="0" xfId="3" applyAlignment="1">
      <alignment vertical="center"/>
    </xf>
    <xf numFmtId="9" fontId="2" fillId="0" borderId="0" xfId="3" applyNumberFormat="1" applyAlignment="1">
      <alignment vertical="center"/>
    </xf>
    <xf numFmtId="167" fontId="3" fillId="0" borderId="0" xfId="1" applyNumberFormat="1" applyFont="1" applyAlignment="1">
      <alignment vertical="center"/>
    </xf>
    <xf numFmtId="0" fontId="26" fillId="2" borderId="4" xfId="3" applyFont="1" applyFill="1" applyBorder="1" applyAlignment="1">
      <alignment horizontal="center" vertical="center" wrapText="1"/>
    </xf>
    <xf numFmtId="167" fontId="26" fillId="2" borderId="4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9" fontId="5" fillId="0" borderId="0" xfId="3" applyNumberFormat="1" applyFont="1" applyAlignment="1">
      <alignment vertical="center" wrapText="1"/>
    </xf>
    <xf numFmtId="0" fontId="27" fillId="0" borderId="4" xfId="3" applyFont="1" applyBorder="1" applyAlignment="1">
      <alignment horizontal="center" vertical="center"/>
    </xf>
    <xf numFmtId="3" fontId="27" fillId="0" borderId="4" xfId="3" applyNumberFormat="1" applyFont="1" applyBorder="1" applyAlignment="1">
      <alignment horizontal="center" vertical="center"/>
    </xf>
    <xf numFmtId="0" fontId="2" fillId="0" borderId="0" xfId="3" applyAlignment="1">
      <alignment horizontal="center" vertical="center"/>
    </xf>
    <xf numFmtId="165" fontId="27" fillId="0" borderId="4" xfId="1" applyNumberFormat="1" applyFont="1" applyBorder="1" applyAlignment="1">
      <alignment vertical="center"/>
    </xf>
    <xf numFmtId="165" fontId="27" fillId="0" borderId="4" xfId="3" applyNumberFormat="1" applyFont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0" fillId="16" borderId="0" xfId="0" applyFill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4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13" borderId="4" xfId="0" applyNumberFormat="1" applyFill="1" applyBorder="1" applyAlignment="1">
      <alignment vertical="center"/>
    </xf>
    <xf numFmtId="166" fontId="0" fillId="13" borderId="4" xfId="1" applyFont="1" applyFill="1" applyBorder="1" applyAlignment="1">
      <alignment vertical="center"/>
    </xf>
    <xf numFmtId="4" fontId="0" fillId="0" borderId="8" xfId="0" applyNumberFormat="1" applyBorder="1" applyAlignment="1">
      <alignment vertical="center"/>
    </xf>
    <xf numFmtId="4" fontId="0" fillId="0" borderId="0" xfId="0" applyNumberFormat="1" applyAlignment="1">
      <alignment vertical="center"/>
    </xf>
    <xf numFmtId="0" fontId="6" fillId="0" borderId="0" xfId="0" applyFont="1"/>
    <xf numFmtId="0" fontId="1" fillId="0" borderId="21" xfId="3" applyFont="1" applyBorder="1"/>
    <xf numFmtId="0" fontId="27" fillId="0" borderId="4" xfId="3" applyFont="1" applyBorder="1" applyAlignment="1">
      <alignment horizontal="right" vertical="center"/>
    </xf>
    <xf numFmtId="165" fontId="0" fillId="16" borderId="0" xfId="1" applyNumberFormat="1" applyFont="1" applyFill="1" applyAlignment="1">
      <alignment vertical="center"/>
    </xf>
    <xf numFmtId="165" fontId="0" fillId="0" borderId="7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Border="1" applyAlignment="1">
      <alignment vertical="center"/>
    </xf>
    <xf numFmtId="0" fontId="1" fillId="0" borderId="0" xfId="3" applyFont="1"/>
    <xf numFmtId="16" fontId="25" fillId="0" borderId="0" xfId="0" quotePrefix="1" applyNumberFormat="1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166" fontId="8" fillId="11" borderId="12" xfId="5" applyFont="1" applyFill="1" applyBorder="1" applyAlignment="1">
      <alignment horizontal="center"/>
    </xf>
    <xf numFmtId="166" fontId="8" fillId="11" borderId="13" xfId="5" applyFont="1" applyFill="1" applyBorder="1" applyAlignment="1">
      <alignment horizontal="center"/>
    </xf>
    <xf numFmtId="0" fontId="11" fillId="5" borderId="6" xfId="4" applyFont="1" applyFill="1" applyBorder="1" applyAlignment="1">
      <alignment horizontal="left"/>
    </xf>
    <xf numFmtId="0" fontId="11" fillId="5" borderId="7" xfId="4" applyFont="1" applyFill="1" applyBorder="1" applyAlignment="1">
      <alignment horizontal="left"/>
    </xf>
    <xf numFmtId="0" fontId="11" fillId="5" borderId="20" xfId="4" applyFont="1" applyFill="1" applyBorder="1" applyAlignment="1">
      <alignment horizontal="left"/>
    </xf>
    <xf numFmtId="0" fontId="11" fillId="5" borderId="8" xfId="4" applyFont="1" applyFill="1" applyBorder="1" applyAlignment="1">
      <alignment horizontal="left"/>
    </xf>
    <xf numFmtId="0" fontId="11" fillId="5" borderId="0" xfId="4" applyFont="1" applyFill="1" applyAlignment="1">
      <alignment horizontal="left"/>
    </xf>
    <xf numFmtId="0" fontId="11" fillId="5" borderId="17" xfId="4" applyFont="1" applyFill="1" applyBorder="1" applyAlignment="1">
      <alignment horizontal="left"/>
    </xf>
    <xf numFmtId="0" fontId="17" fillId="0" borderId="0" xfId="3" applyFont="1" applyAlignment="1">
      <alignment horizontal="left"/>
    </xf>
  </cellXfs>
  <cellStyles count="8">
    <cellStyle name="Comma" xfId="1" builtinId="3"/>
    <cellStyle name="Comma 2" xfId="7" xr:uid="{2BA5420E-98B5-45C1-92B1-754B5084DCA2}"/>
    <cellStyle name="Comma 2 2" xfId="5" xr:uid="{9EB5CFB3-133C-46C6-BAD8-0155499960AE}"/>
    <cellStyle name="Currency" xfId="2" builtinId="4"/>
    <cellStyle name="Currency 2" xfId="6" xr:uid="{C2A0ACAA-9469-4D98-B144-546A65F25D0C}"/>
    <cellStyle name="Normal" xfId="0" builtinId="0"/>
    <cellStyle name="Normal 2" xfId="3" xr:uid="{B347D75B-62D1-4073-89B1-881626ACD1EC}"/>
    <cellStyle name="Normal 4 2" xfId="4" xr:uid="{075409D0-86A3-47E3-9BCB-AC16F0271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27</xdr:row>
      <xdr:rowOff>57150</xdr:rowOff>
    </xdr:from>
    <xdr:to>
      <xdr:col>5</xdr:col>
      <xdr:colOff>1343025</xdr:colOff>
      <xdr:row>35</xdr:row>
      <xdr:rowOff>120649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147F00-95AC-48F0-BB99-0068A1691CB2}"/>
            </a:ext>
          </a:extLst>
        </xdr:cNvPr>
        <xdr:cNvSpPr txBox="1"/>
      </xdr:nvSpPr>
      <xdr:spPr>
        <a:xfrm>
          <a:off x="2498725" y="4349750"/>
          <a:ext cx="6470650" cy="133984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W</a:t>
          </a:r>
          <a:r>
            <a:rPr lang="en-GB" sz="1100" baseline="0"/>
            <a:t>rite</a:t>
          </a:r>
          <a:r>
            <a:rPr lang="en-GB" sz="1100"/>
            <a:t> an IF formula to say</a:t>
          </a:r>
          <a:r>
            <a:rPr lang="en-GB" sz="1100" baseline="0"/>
            <a:t> "</a:t>
          </a:r>
          <a:r>
            <a:rPr lang="en-GB" sz="1100"/>
            <a:t>PASS" if the score is greater</a:t>
          </a:r>
          <a:r>
            <a:rPr lang="en-GB" sz="1100" baseline="0"/>
            <a:t> than or equal to</a:t>
          </a:r>
          <a:r>
            <a:rPr lang="en-GB" sz="1100"/>
            <a:t> 50 or "FAIL" </a:t>
          </a:r>
          <a:r>
            <a:rPr lang="en-GB" sz="1100" baseline="0"/>
            <a:t> less than 50.</a:t>
          </a:r>
        </a:p>
        <a:p>
          <a:endParaRPr lang="en-GB" sz="1100"/>
        </a:p>
        <a:p>
          <a:r>
            <a:rPr lang="en-GB" sz="1100"/>
            <a:t>2. In</a:t>
          </a:r>
          <a:r>
            <a:rPr lang="en-GB" sz="1100" baseline="0"/>
            <a:t> the Grade column c</a:t>
          </a:r>
          <a:r>
            <a:rPr lang="en-GB" sz="1100"/>
            <a:t>reate an IF statement to determine which grade</a:t>
          </a:r>
          <a:r>
            <a:rPr lang="en-GB" sz="1100" baseline="0"/>
            <a:t> each student should receive, grades are based on their test score. Refer to the Grades table to see how the scores are  broken down into grades.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437029</xdr:colOff>
      <xdr:row>14</xdr:row>
      <xdr:rowOff>56030</xdr:rowOff>
    </xdr:from>
    <xdr:to>
      <xdr:col>20</xdr:col>
      <xdr:colOff>625473</xdr:colOff>
      <xdr:row>24</xdr:row>
      <xdr:rowOff>10715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0AEAD0-F980-46CE-BC48-DFCA6F424196}"/>
            </a:ext>
          </a:extLst>
        </xdr:cNvPr>
        <xdr:cNvSpPr txBox="1"/>
      </xdr:nvSpPr>
      <xdr:spPr>
        <a:xfrm>
          <a:off x="7440705" y="2734236"/>
          <a:ext cx="8816974" cy="185968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Scenarios:</a:t>
          </a:r>
          <a:r>
            <a:rPr lang="en-GB" sz="1400" b="1"/>
            <a:t> </a:t>
          </a:r>
        </a:p>
        <a:p>
          <a:endParaRPr lang="en-GB" sz="1200"/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client is based in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Jsy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Director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EF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 for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attention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leave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200">
              <a:solidFill>
                <a:srgbClr val="FF0000"/>
              </a:solidFill>
            </a:rPr>
            <a:t>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either the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passport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utility bills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signature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has not been received mark the line to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chase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100">
            <a:effectLst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Director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EF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Administrator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Morel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 the account for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review,</a:t>
          </a:r>
          <a:r>
            <a:rPr lang="en-GB" sz="12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>
            <a:solidFill>
              <a:srgbClr val="FF0000"/>
            </a:solidFill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either the jurisdiction is in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Jersey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opening balance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greater than 10,000 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highlight the record as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Priority,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passport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utility bill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signature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have been received, mark the record as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completed,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/>
            <a:t>I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 the the jurisdiction is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JSY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due date is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in the past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mark it has Jersey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Overdue,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126395</xdr:colOff>
      <xdr:row>0</xdr:row>
      <xdr:rowOff>123672</xdr:rowOff>
    </xdr:from>
    <xdr:to>
      <xdr:col>16</xdr:col>
      <xdr:colOff>219075</xdr:colOff>
      <xdr:row>34</xdr:row>
      <xdr:rowOff>89647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980AE6-8A76-41E5-80BC-74FBA1F642F5}"/>
            </a:ext>
          </a:extLst>
        </xdr:cNvPr>
        <xdr:cNvSpPr txBox="1"/>
      </xdr:nvSpPr>
      <xdr:spPr>
        <a:xfrm>
          <a:off x="9489470" y="123672"/>
          <a:ext cx="4016980" cy="74145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u="sng" baseline="0"/>
            <a:t>SUM</a:t>
          </a:r>
        </a:p>
        <a:p>
          <a:r>
            <a:rPr lang="en-GB" sz="1100" u="none" baseline="0"/>
            <a:t>1. How much debt is outstanding?</a:t>
          </a:r>
        </a:p>
        <a:p>
          <a:endParaRPr lang="en-GB" sz="1100" u="none" baseline="0"/>
        </a:p>
        <a:p>
          <a:r>
            <a:rPr lang="en-GB" sz="1100" u="sng" baseline="0"/>
            <a:t>SUMIF</a:t>
          </a:r>
        </a:p>
        <a:p>
          <a:r>
            <a:rPr lang="en-GB" sz="1100" u="none" baseline="0"/>
            <a:t>2. How much debt Becky Jones is chasing?</a:t>
          </a:r>
        </a:p>
        <a:p>
          <a:r>
            <a:rPr lang="en-GB" sz="1100" u="none" baseline="0"/>
            <a:t>3. How much does Royal Bank of Canada owe?</a:t>
          </a:r>
        </a:p>
        <a:p>
          <a:pPr>
            <a:lnSpc>
              <a:spcPts val="1000"/>
            </a:lnSpc>
          </a:pPr>
          <a:endParaRPr lang="en-GB" sz="1100" u="none" baseline="0"/>
        </a:p>
        <a:p>
          <a:pPr>
            <a:lnSpc>
              <a:spcPts val="1000"/>
            </a:lnSpc>
          </a:pPr>
          <a:r>
            <a:rPr lang="en-GB" sz="1100" u="sng" baseline="0"/>
            <a:t>SUMIFS</a:t>
          </a:r>
        </a:p>
        <a:p>
          <a:pPr>
            <a:lnSpc>
              <a:spcPts val="1000"/>
            </a:lnSpc>
          </a:pPr>
          <a:r>
            <a:rPr lang="en-GB" sz="1100" u="none" baseline="0"/>
            <a:t>4a. How much does Nedbank owe for consultancy work?</a:t>
          </a:r>
        </a:p>
        <a:p>
          <a:pPr>
            <a:lnSpc>
              <a:spcPts val="1000"/>
            </a:lnSpc>
          </a:pPr>
          <a:r>
            <a:rPr lang="en-GB" sz="1100" u="none" baseline="0"/>
            <a:t>4.b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does Walkers owe for consultancy work?</a:t>
          </a:r>
          <a:endParaRPr lang="en-GB" sz="1100" u="none" baseline="0"/>
        </a:p>
        <a:p>
          <a:pPr>
            <a:lnSpc>
              <a:spcPts val="1000"/>
            </a:lnSpc>
          </a:pPr>
          <a:r>
            <a:rPr lang="en-GB" sz="1100" u="none" baseline="0"/>
            <a:t>4.c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does Voisins owe for consultancy work?</a:t>
          </a:r>
        </a:p>
        <a:p>
          <a:pPr>
            <a:lnSpc>
              <a:spcPts val="1000"/>
            </a:lnSpc>
          </a:pPr>
          <a:endParaRPr lang="en-GB" sz="1100" u="none" baseline="0"/>
        </a:p>
        <a:p>
          <a:r>
            <a:rPr lang="en-GB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COUNTA</a:t>
          </a:r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How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many pieces of are there?</a:t>
          </a:r>
        </a:p>
        <a:p>
          <a:endParaRPr lang="en-GB">
            <a:effectLst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6a. How many pieces of work is Ana Smith chasing to be paid?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6.b How many pieces of work is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Paul McGrath</a:t>
          </a:r>
          <a:r>
            <a:rPr lang="en-GB"/>
            <a:t>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chasing to be paid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6.c How many pieces of work is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Mary Blackmore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chasing to be paid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How many lines of debts are there over £3000?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COUNTIFS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pieces of work is Mary waiting for Calligo to pay?</a:t>
          </a:r>
          <a:endParaRPr lang="en-GB">
            <a:effectLst/>
          </a:endParaRPr>
        </a:p>
        <a:p>
          <a:pPr>
            <a:lnSpc>
              <a:spcPts val="1000"/>
            </a:lnSpc>
          </a:pPr>
          <a:endParaRPr lang="en-GB" sz="1100" u="sng" baseline="0"/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What is the largest amount of outstanding?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What is the most recent debt?</a:t>
          </a:r>
        </a:p>
        <a:p>
          <a:endParaRPr lang="en-GB">
            <a:effectLst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What is the smallest amount of debt?</a:t>
          </a:r>
          <a:endParaRPr lang="en-GB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What is the oldest debt?</a:t>
          </a:r>
        </a:p>
        <a:p>
          <a:endParaRPr lang="en-GB">
            <a:effectLst/>
          </a:endParaRPr>
        </a:p>
        <a:p>
          <a:pPr>
            <a:lnSpc>
              <a:spcPts val="1000"/>
            </a:lnSpc>
          </a:pPr>
          <a:endParaRPr lang="en-GB" sz="1100" u="none" baseline="0"/>
        </a:p>
        <a:p>
          <a:endParaRPr lang="en-GB" sz="1100" u="none" baseline="0"/>
        </a:p>
        <a:p>
          <a:pPr>
            <a:lnSpc>
              <a:spcPts val="900"/>
            </a:lnSpc>
          </a:pPr>
          <a:endParaRPr lang="en-GB" sz="1100" u="none" baseline="0"/>
        </a:p>
        <a:p>
          <a:pPr>
            <a:lnSpc>
              <a:spcPts val="900"/>
            </a:lnSpc>
          </a:pPr>
          <a:endParaRPr lang="en-GB" sz="1100" u="none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760044</xdr:colOff>
      <xdr:row>0</xdr:row>
      <xdr:rowOff>128784</xdr:rowOff>
    </xdr:from>
    <xdr:to>
      <xdr:col>25</xdr:col>
      <xdr:colOff>836244</xdr:colOff>
      <xdr:row>33</xdr:row>
      <xdr:rowOff>165448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40C333-CA64-4551-B118-3742A157CCA3}"/>
            </a:ext>
          </a:extLst>
        </xdr:cNvPr>
        <xdr:cNvSpPr txBox="1"/>
      </xdr:nvSpPr>
      <xdr:spPr>
        <a:xfrm>
          <a:off x="12920729" y="128784"/>
          <a:ext cx="6417501" cy="624748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How many employees are there?</a:t>
          </a:r>
          <a:r>
            <a:rPr lang="en-GB"/>
            <a:t> </a:t>
          </a:r>
        </a:p>
        <a:p>
          <a:endParaRPr lang="en-GB"/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How many people are in the Admin Team?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How many people are grade 8?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How many people are grade 5 or below?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How many applications of overtime were there? </a:t>
          </a:r>
          <a:r>
            <a:rPr lang="en-GB"/>
            <a:t> </a:t>
          </a:r>
        </a:p>
        <a:p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employees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grade 6 and above 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Admin team 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 staff on a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Monday?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endParaRPr lang="en-GB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How many standard hours were worked during this period?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How many hours of overtime were worked?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How many hours in total were worked?</a:t>
          </a:r>
          <a:endParaRPr lang="en-GB">
            <a:effectLst/>
          </a:endParaRP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How many hours overtime was worked on Friday?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13. How many standard hours were worked by the Legal Team?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 How much overtime did A Wright do?</a:t>
          </a:r>
          <a:r>
            <a:rPr lang="en-GB"/>
            <a:t> </a:t>
          </a: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 How much overtime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completed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members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Legal Team on 38 hr weeks?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 How much overtime did people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grade 5 and above in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Operations Team do?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 What was the average amount of standard hours worked?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 What is the average amount 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standard hours worked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 people on 38hr contracts or more?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19. What is the average amount of standard hours worked by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employees on grade 9 or more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r>
            <a:rPr lang="en-GB"/>
            <a:t> </a:t>
          </a: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20.What is the most frequent number of hours in a contract?</a:t>
          </a:r>
          <a:r>
            <a:rPr lang="en-GB"/>
            <a:t> 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161035</xdr:colOff>
      <xdr:row>0</xdr:row>
      <xdr:rowOff>244000</xdr:rowOff>
    </xdr:from>
    <xdr:to>
      <xdr:col>26</xdr:col>
      <xdr:colOff>103885</xdr:colOff>
      <xdr:row>16</xdr:row>
      <xdr:rowOff>153202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C59913-CCF3-4286-A5B7-B5AC7A0DB9CB}"/>
            </a:ext>
          </a:extLst>
        </xdr:cNvPr>
        <xdr:cNvSpPr txBox="1"/>
      </xdr:nvSpPr>
      <xdr:spPr>
        <a:xfrm>
          <a:off x="10886185" y="244000"/>
          <a:ext cx="8274050" cy="303975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Questions</a:t>
          </a:r>
        </a:p>
        <a:p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vegetarians need to be catered for?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total amount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ticket sales and donations?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individuals have requested tickets?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people from Sales have applied for tickets?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groups did not send a donation?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batches of tickets still need to be sent?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people require transport?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guests will there be from the Admin dept?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most frequent size of group?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average donation?</a:t>
          </a:r>
          <a:r>
            <a:rPr lang="en-GB" sz="1200" b="0"/>
            <a:t>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there are 6 or more guests from the same 'party' mark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record as </a:t>
          </a:r>
          <a:r>
            <a:rPr lang="en-GB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own table</a:t>
          </a:r>
          <a:endParaRPr lang="en-US" sz="11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281-C59E-409B-B606-045D5C2D6DBF}">
  <sheetPr codeName="Sheet1">
    <tabColor theme="4" tint="-0.249977111117893"/>
  </sheetPr>
  <dimension ref="A1:E10"/>
  <sheetViews>
    <sheetView tabSelected="1" zoomScaleNormal="100" workbookViewId="0">
      <selection activeCell="G10" sqref="G10"/>
    </sheetView>
  </sheetViews>
  <sheetFormatPr defaultColWidth="18.28515625" defaultRowHeight="15.6"/>
  <cols>
    <col min="1" max="16384" width="18.28515625" style="107"/>
  </cols>
  <sheetData>
    <row r="1" spans="1:5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</row>
    <row r="2" spans="1:5">
      <c r="A2" s="107" t="s">
        <v>5</v>
      </c>
      <c r="B2" s="108">
        <v>450</v>
      </c>
      <c r="C2" s="109">
        <v>621.58000000000004</v>
      </c>
    </row>
    <row r="3" spans="1:5">
      <c r="A3" s="107" t="s">
        <v>6</v>
      </c>
      <c r="B3" s="108">
        <v>375</v>
      </c>
      <c r="C3" s="109">
        <v>324</v>
      </c>
    </row>
    <row r="4" spans="1:5">
      <c r="A4" s="107" t="s">
        <v>7</v>
      </c>
      <c r="B4" s="108">
        <v>150</v>
      </c>
      <c r="C4" s="109">
        <v>128</v>
      </c>
    </row>
    <row r="5" spans="1:5">
      <c r="A5" s="107" t="s">
        <v>8</v>
      </c>
      <c r="B5" s="108">
        <v>150</v>
      </c>
      <c r="C5" s="109">
        <v>174.38</v>
      </c>
    </row>
    <row r="6" spans="1:5">
      <c r="A6" s="107" t="s">
        <v>9</v>
      </c>
      <c r="B6" s="108">
        <v>50</v>
      </c>
      <c r="C6" s="109">
        <v>82</v>
      </c>
    </row>
    <row r="10" spans="1:5">
      <c r="D10" s="153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CBA0-D742-4F88-8C4E-A58DCA242E9E}">
  <sheetPr codeName="Sheet2">
    <tabColor theme="4" tint="-0.249977111117893"/>
  </sheetPr>
  <dimension ref="A1:P13"/>
  <sheetViews>
    <sheetView zoomScale="72" zoomScaleNormal="100" workbookViewId="0">
      <selection activeCell="F2" sqref="F2"/>
    </sheetView>
  </sheetViews>
  <sheetFormatPr defaultColWidth="9" defaultRowHeight="26.25" customHeight="1"/>
  <cols>
    <col min="1" max="1" width="11.42578125" style="112" bestFit="1" customWidth="1"/>
    <col min="2" max="2" width="10.28515625" style="112" customWidth="1"/>
    <col min="3" max="3" width="6.85546875" style="121" bestFit="1" customWidth="1"/>
    <col min="4" max="4" width="6.7109375" style="121" bestFit="1" customWidth="1"/>
    <col min="5" max="5" width="11.7109375" style="121" customWidth="1"/>
    <col min="6" max="6" width="10.5703125" style="114" customWidth="1"/>
    <col min="7" max="7" width="10.5703125" style="121" customWidth="1"/>
    <col min="8" max="8" width="9.42578125" style="121" customWidth="1"/>
    <col min="9" max="9" width="9.85546875" style="112" customWidth="1"/>
    <col min="10" max="10" width="11" style="112" customWidth="1"/>
    <col min="11" max="11" width="21.5703125" style="112" customWidth="1"/>
    <col min="12" max="252" width="9" style="112"/>
    <col min="253" max="253" width="10.42578125" style="112" bestFit="1" customWidth="1"/>
    <col min="254" max="254" width="9" style="112"/>
    <col min="255" max="255" width="10" style="112" bestFit="1" customWidth="1"/>
    <col min="256" max="256" width="9" style="112" bestFit="1" customWidth="1"/>
    <col min="257" max="258" width="9" style="112"/>
    <col min="259" max="259" width="11.28515625" style="112" bestFit="1" customWidth="1"/>
    <col min="260" max="260" width="11.28515625" style="112" customWidth="1"/>
    <col min="261" max="261" width="7.85546875" style="112" customWidth="1"/>
    <col min="262" max="262" width="11" style="112" bestFit="1" customWidth="1"/>
    <col min="263" max="508" width="9" style="112"/>
    <col min="509" max="509" width="10.42578125" style="112" bestFit="1" customWidth="1"/>
    <col min="510" max="510" width="9" style="112"/>
    <col min="511" max="511" width="10" style="112" bestFit="1" customWidth="1"/>
    <col min="512" max="512" width="9" style="112" bestFit="1" customWidth="1"/>
    <col min="513" max="514" width="9" style="112"/>
    <col min="515" max="515" width="11.28515625" style="112" bestFit="1" customWidth="1"/>
    <col min="516" max="516" width="11.28515625" style="112" customWidth="1"/>
    <col min="517" max="517" width="7.85546875" style="112" customWidth="1"/>
    <col min="518" max="518" width="11" style="112" bestFit="1" customWidth="1"/>
    <col min="519" max="764" width="9" style="112"/>
    <col min="765" max="765" width="10.42578125" style="112" bestFit="1" customWidth="1"/>
    <col min="766" max="766" width="9" style="112"/>
    <col min="767" max="767" width="10" style="112" bestFit="1" customWidth="1"/>
    <col min="768" max="768" width="9" style="112" bestFit="1" customWidth="1"/>
    <col min="769" max="770" width="9" style="112"/>
    <col min="771" max="771" width="11.28515625" style="112" bestFit="1" customWidth="1"/>
    <col min="772" max="772" width="11.28515625" style="112" customWidth="1"/>
    <col min="773" max="773" width="7.85546875" style="112" customWidth="1"/>
    <col min="774" max="774" width="11" style="112" bestFit="1" customWidth="1"/>
    <col min="775" max="1020" width="9" style="112"/>
    <col min="1021" max="1021" width="10.42578125" style="112" bestFit="1" customWidth="1"/>
    <col min="1022" max="1022" width="9" style="112"/>
    <col min="1023" max="1023" width="10" style="112" bestFit="1" customWidth="1"/>
    <col min="1024" max="1024" width="9" style="112" bestFit="1" customWidth="1"/>
    <col min="1025" max="1026" width="9" style="112"/>
    <col min="1027" max="1027" width="11.28515625" style="112" bestFit="1" customWidth="1"/>
    <col min="1028" max="1028" width="11.28515625" style="112" customWidth="1"/>
    <col min="1029" max="1029" width="7.85546875" style="112" customWidth="1"/>
    <col min="1030" max="1030" width="11" style="112" bestFit="1" customWidth="1"/>
    <col min="1031" max="1276" width="9" style="112"/>
    <col min="1277" max="1277" width="10.42578125" style="112" bestFit="1" customWidth="1"/>
    <col min="1278" max="1278" width="9" style="112"/>
    <col min="1279" max="1279" width="10" style="112" bestFit="1" customWidth="1"/>
    <col min="1280" max="1280" width="9" style="112" bestFit="1" customWidth="1"/>
    <col min="1281" max="1282" width="9" style="112"/>
    <col min="1283" max="1283" width="11.28515625" style="112" bestFit="1" customWidth="1"/>
    <col min="1284" max="1284" width="11.28515625" style="112" customWidth="1"/>
    <col min="1285" max="1285" width="7.85546875" style="112" customWidth="1"/>
    <col min="1286" max="1286" width="11" style="112" bestFit="1" customWidth="1"/>
    <col min="1287" max="1532" width="9" style="112"/>
    <col min="1533" max="1533" width="10.42578125" style="112" bestFit="1" customWidth="1"/>
    <col min="1534" max="1534" width="9" style="112"/>
    <col min="1535" max="1535" width="10" style="112" bestFit="1" customWidth="1"/>
    <col min="1536" max="1536" width="9" style="112" bestFit="1" customWidth="1"/>
    <col min="1537" max="1538" width="9" style="112"/>
    <col min="1539" max="1539" width="11.28515625" style="112" bestFit="1" customWidth="1"/>
    <col min="1540" max="1540" width="11.28515625" style="112" customWidth="1"/>
    <col min="1541" max="1541" width="7.85546875" style="112" customWidth="1"/>
    <col min="1542" max="1542" width="11" style="112" bestFit="1" customWidth="1"/>
    <col min="1543" max="1788" width="9" style="112"/>
    <col min="1789" max="1789" width="10.42578125" style="112" bestFit="1" customWidth="1"/>
    <col min="1790" max="1790" width="9" style="112"/>
    <col min="1791" max="1791" width="10" style="112" bestFit="1" customWidth="1"/>
    <col min="1792" max="1792" width="9" style="112" bestFit="1" customWidth="1"/>
    <col min="1793" max="1794" width="9" style="112"/>
    <col min="1795" max="1795" width="11.28515625" style="112" bestFit="1" customWidth="1"/>
    <col min="1796" max="1796" width="11.28515625" style="112" customWidth="1"/>
    <col min="1797" max="1797" width="7.85546875" style="112" customWidth="1"/>
    <col min="1798" max="1798" width="11" style="112" bestFit="1" customWidth="1"/>
    <col min="1799" max="2044" width="9" style="112"/>
    <col min="2045" max="2045" width="10.42578125" style="112" bestFit="1" customWidth="1"/>
    <col min="2046" max="2046" width="9" style="112"/>
    <col min="2047" max="2047" width="10" style="112" bestFit="1" customWidth="1"/>
    <col min="2048" max="2048" width="9" style="112" bestFit="1" customWidth="1"/>
    <col min="2049" max="2050" width="9" style="112"/>
    <col min="2051" max="2051" width="11.28515625" style="112" bestFit="1" customWidth="1"/>
    <col min="2052" max="2052" width="11.28515625" style="112" customWidth="1"/>
    <col min="2053" max="2053" width="7.85546875" style="112" customWidth="1"/>
    <col min="2054" max="2054" width="11" style="112" bestFit="1" customWidth="1"/>
    <col min="2055" max="2300" width="9" style="112"/>
    <col min="2301" max="2301" width="10.42578125" style="112" bestFit="1" customWidth="1"/>
    <col min="2302" max="2302" width="9" style="112"/>
    <col min="2303" max="2303" width="10" style="112" bestFit="1" customWidth="1"/>
    <col min="2304" max="2304" width="9" style="112" bestFit="1" customWidth="1"/>
    <col min="2305" max="2306" width="9" style="112"/>
    <col min="2307" max="2307" width="11.28515625" style="112" bestFit="1" customWidth="1"/>
    <col min="2308" max="2308" width="11.28515625" style="112" customWidth="1"/>
    <col min="2309" max="2309" width="7.85546875" style="112" customWidth="1"/>
    <col min="2310" max="2310" width="11" style="112" bestFit="1" customWidth="1"/>
    <col min="2311" max="2556" width="9" style="112"/>
    <col min="2557" max="2557" width="10.42578125" style="112" bestFit="1" customWidth="1"/>
    <col min="2558" max="2558" width="9" style="112"/>
    <col min="2559" max="2559" width="10" style="112" bestFit="1" customWidth="1"/>
    <col min="2560" max="2560" width="9" style="112" bestFit="1" customWidth="1"/>
    <col min="2561" max="2562" width="9" style="112"/>
    <col min="2563" max="2563" width="11.28515625" style="112" bestFit="1" customWidth="1"/>
    <col min="2564" max="2564" width="11.28515625" style="112" customWidth="1"/>
    <col min="2565" max="2565" width="7.85546875" style="112" customWidth="1"/>
    <col min="2566" max="2566" width="11" style="112" bestFit="1" customWidth="1"/>
    <col min="2567" max="2812" width="9" style="112"/>
    <col min="2813" max="2813" width="10.42578125" style="112" bestFit="1" customWidth="1"/>
    <col min="2814" max="2814" width="9" style="112"/>
    <col min="2815" max="2815" width="10" style="112" bestFit="1" customWidth="1"/>
    <col min="2816" max="2816" width="9" style="112" bestFit="1" customWidth="1"/>
    <col min="2817" max="2818" width="9" style="112"/>
    <col min="2819" max="2819" width="11.28515625" style="112" bestFit="1" customWidth="1"/>
    <col min="2820" max="2820" width="11.28515625" style="112" customWidth="1"/>
    <col min="2821" max="2821" width="7.85546875" style="112" customWidth="1"/>
    <col min="2822" max="2822" width="11" style="112" bestFit="1" customWidth="1"/>
    <col min="2823" max="3068" width="9" style="112"/>
    <col min="3069" max="3069" width="10.42578125" style="112" bestFit="1" customWidth="1"/>
    <col min="3070" max="3070" width="9" style="112"/>
    <col min="3071" max="3071" width="10" style="112" bestFit="1" customWidth="1"/>
    <col min="3072" max="3072" width="9" style="112" bestFit="1" customWidth="1"/>
    <col min="3073" max="3074" width="9" style="112"/>
    <col min="3075" max="3075" width="11.28515625" style="112" bestFit="1" customWidth="1"/>
    <col min="3076" max="3076" width="11.28515625" style="112" customWidth="1"/>
    <col min="3077" max="3077" width="7.85546875" style="112" customWidth="1"/>
    <col min="3078" max="3078" width="11" style="112" bestFit="1" customWidth="1"/>
    <col min="3079" max="3324" width="9" style="112"/>
    <col min="3325" max="3325" width="10.42578125" style="112" bestFit="1" customWidth="1"/>
    <col min="3326" max="3326" width="9" style="112"/>
    <col min="3327" max="3327" width="10" style="112" bestFit="1" customWidth="1"/>
    <col min="3328" max="3328" width="9" style="112" bestFit="1" customWidth="1"/>
    <col min="3329" max="3330" width="9" style="112"/>
    <col min="3331" max="3331" width="11.28515625" style="112" bestFit="1" customWidth="1"/>
    <col min="3332" max="3332" width="11.28515625" style="112" customWidth="1"/>
    <col min="3333" max="3333" width="7.85546875" style="112" customWidth="1"/>
    <col min="3334" max="3334" width="11" style="112" bestFit="1" customWidth="1"/>
    <col min="3335" max="3580" width="9" style="112"/>
    <col min="3581" max="3581" width="10.42578125" style="112" bestFit="1" customWidth="1"/>
    <col min="3582" max="3582" width="9" style="112"/>
    <col min="3583" max="3583" width="10" style="112" bestFit="1" customWidth="1"/>
    <col min="3584" max="3584" width="9" style="112" bestFit="1" customWidth="1"/>
    <col min="3585" max="3586" width="9" style="112"/>
    <col min="3587" max="3587" width="11.28515625" style="112" bestFit="1" customWidth="1"/>
    <col min="3588" max="3588" width="11.28515625" style="112" customWidth="1"/>
    <col min="3589" max="3589" width="7.85546875" style="112" customWidth="1"/>
    <col min="3590" max="3590" width="11" style="112" bestFit="1" customWidth="1"/>
    <col min="3591" max="3836" width="9" style="112"/>
    <col min="3837" max="3837" width="10.42578125" style="112" bestFit="1" customWidth="1"/>
    <col min="3838" max="3838" width="9" style="112"/>
    <col min="3839" max="3839" width="10" style="112" bestFit="1" customWidth="1"/>
    <col min="3840" max="3840" width="9" style="112" bestFit="1" customWidth="1"/>
    <col min="3841" max="3842" width="9" style="112"/>
    <col min="3843" max="3843" width="11.28515625" style="112" bestFit="1" customWidth="1"/>
    <col min="3844" max="3844" width="11.28515625" style="112" customWidth="1"/>
    <col min="3845" max="3845" width="7.85546875" style="112" customWidth="1"/>
    <col min="3846" max="3846" width="11" style="112" bestFit="1" customWidth="1"/>
    <col min="3847" max="4092" width="9" style="112"/>
    <col min="4093" max="4093" width="10.42578125" style="112" bestFit="1" customWidth="1"/>
    <col min="4094" max="4094" width="9" style="112"/>
    <col min="4095" max="4095" width="10" style="112" bestFit="1" customWidth="1"/>
    <col min="4096" max="4096" width="9" style="112" bestFit="1" customWidth="1"/>
    <col min="4097" max="4098" width="9" style="112"/>
    <col min="4099" max="4099" width="11.28515625" style="112" bestFit="1" customWidth="1"/>
    <col min="4100" max="4100" width="11.28515625" style="112" customWidth="1"/>
    <col min="4101" max="4101" width="7.85546875" style="112" customWidth="1"/>
    <col min="4102" max="4102" width="11" style="112" bestFit="1" customWidth="1"/>
    <col min="4103" max="4348" width="9" style="112"/>
    <col min="4349" max="4349" width="10.42578125" style="112" bestFit="1" customWidth="1"/>
    <col min="4350" max="4350" width="9" style="112"/>
    <col min="4351" max="4351" width="10" style="112" bestFit="1" customWidth="1"/>
    <col min="4352" max="4352" width="9" style="112" bestFit="1" customWidth="1"/>
    <col min="4353" max="4354" width="9" style="112"/>
    <col min="4355" max="4355" width="11.28515625" style="112" bestFit="1" customWidth="1"/>
    <col min="4356" max="4356" width="11.28515625" style="112" customWidth="1"/>
    <col min="4357" max="4357" width="7.85546875" style="112" customWidth="1"/>
    <col min="4358" max="4358" width="11" style="112" bestFit="1" customWidth="1"/>
    <col min="4359" max="4604" width="9" style="112"/>
    <col min="4605" max="4605" width="10.42578125" style="112" bestFit="1" customWidth="1"/>
    <col min="4606" max="4606" width="9" style="112"/>
    <col min="4607" max="4607" width="10" style="112" bestFit="1" customWidth="1"/>
    <col min="4608" max="4608" width="9" style="112" bestFit="1" customWidth="1"/>
    <col min="4609" max="4610" width="9" style="112"/>
    <col min="4611" max="4611" width="11.28515625" style="112" bestFit="1" customWidth="1"/>
    <col min="4612" max="4612" width="11.28515625" style="112" customWidth="1"/>
    <col min="4613" max="4613" width="7.85546875" style="112" customWidth="1"/>
    <col min="4614" max="4614" width="11" style="112" bestFit="1" customWidth="1"/>
    <col min="4615" max="4860" width="9" style="112"/>
    <col min="4861" max="4861" width="10.42578125" style="112" bestFit="1" customWidth="1"/>
    <col min="4862" max="4862" width="9" style="112"/>
    <col min="4863" max="4863" width="10" style="112" bestFit="1" customWidth="1"/>
    <col min="4864" max="4864" width="9" style="112" bestFit="1" customWidth="1"/>
    <col min="4865" max="4866" width="9" style="112"/>
    <col min="4867" max="4867" width="11.28515625" style="112" bestFit="1" customWidth="1"/>
    <col min="4868" max="4868" width="11.28515625" style="112" customWidth="1"/>
    <col min="4869" max="4869" width="7.85546875" style="112" customWidth="1"/>
    <col min="4870" max="4870" width="11" style="112" bestFit="1" customWidth="1"/>
    <col min="4871" max="5116" width="9" style="112"/>
    <col min="5117" max="5117" width="10.42578125" style="112" bestFit="1" customWidth="1"/>
    <col min="5118" max="5118" width="9" style="112"/>
    <col min="5119" max="5119" width="10" style="112" bestFit="1" customWidth="1"/>
    <col min="5120" max="5120" width="9" style="112" bestFit="1" customWidth="1"/>
    <col min="5121" max="5122" width="9" style="112"/>
    <col min="5123" max="5123" width="11.28515625" style="112" bestFit="1" customWidth="1"/>
    <col min="5124" max="5124" width="11.28515625" style="112" customWidth="1"/>
    <col min="5125" max="5125" width="7.85546875" style="112" customWidth="1"/>
    <col min="5126" max="5126" width="11" style="112" bestFit="1" customWidth="1"/>
    <col min="5127" max="5372" width="9" style="112"/>
    <col min="5373" max="5373" width="10.42578125" style="112" bestFit="1" customWidth="1"/>
    <col min="5374" max="5374" width="9" style="112"/>
    <col min="5375" max="5375" width="10" style="112" bestFit="1" customWidth="1"/>
    <col min="5376" max="5376" width="9" style="112" bestFit="1" customWidth="1"/>
    <col min="5377" max="5378" width="9" style="112"/>
    <col min="5379" max="5379" width="11.28515625" style="112" bestFit="1" customWidth="1"/>
    <col min="5380" max="5380" width="11.28515625" style="112" customWidth="1"/>
    <col min="5381" max="5381" width="7.85546875" style="112" customWidth="1"/>
    <col min="5382" max="5382" width="11" style="112" bestFit="1" customWidth="1"/>
    <col min="5383" max="5628" width="9" style="112"/>
    <col min="5629" max="5629" width="10.42578125" style="112" bestFit="1" customWidth="1"/>
    <col min="5630" max="5630" width="9" style="112"/>
    <col min="5631" max="5631" width="10" style="112" bestFit="1" customWidth="1"/>
    <col min="5632" max="5632" width="9" style="112" bestFit="1" customWidth="1"/>
    <col min="5633" max="5634" width="9" style="112"/>
    <col min="5635" max="5635" width="11.28515625" style="112" bestFit="1" customWidth="1"/>
    <col min="5636" max="5636" width="11.28515625" style="112" customWidth="1"/>
    <col min="5637" max="5637" width="7.85546875" style="112" customWidth="1"/>
    <col min="5638" max="5638" width="11" style="112" bestFit="1" customWidth="1"/>
    <col min="5639" max="5884" width="9" style="112"/>
    <col min="5885" max="5885" width="10.42578125" style="112" bestFit="1" customWidth="1"/>
    <col min="5886" max="5886" width="9" style="112"/>
    <col min="5887" max="5887" width="10" style="112" bestFit="1" customWidth="1"/>
    <col min="5888" max="5888" width="9" style="112" bestFit="1" customWidth="1"/>
    <col min="5889" max="5890" width="9" style="112"/>
    <col min="5891" max="5891" width="11.28515625" style="112" bestFit="1" customWidth="1"/>
    <col min="5892" max="5892" width="11.28515625" style="112" customWidth="1"/>
    <col min="5893" max="5893" width="7.85546875" style="112" customWidth="1"/>
    <col min="5894" max="5894" width="11" style="112" bestFit="1" customWidth="1"/>
    <col min="5895" max="6140" width="9" style="112"/>
    <col min="6141" max="6141" width="10.42578125" style="112" bestFit="1" customWidth="1"/>
    <col min="6142" max="6142" width="9" style="112"/>
    <col min="6143" max="6143" width="10" style="112" bestFit="1" customWidth="1"/>
    <col min="6144" max="6144" width="9" style="112" bestFit="1" customWidth="1"/>
    <col min="6145" max="6146" width="9" style="112"/>
    <col min="6147" max="6147" width="11.28515625" style="112" bestFit="1" customWidth="1"/>
    <col min="6148" max="6148" width="11.28515625" style="112" customWidth="1"/>
    <col min="6149" max="6149" width="7.85546875" style="112" customWidth="1"/>
    <col min="6150" max="6150" width="11" style="112" bestFit="1" customWidth="1"/>
    <col min="6151" max="6396" width="9" style="112"/>
    <col min="6397" max="6397" width="10.42578125" style="112" bestFit="1" customWidth="1"/>
    <col min="6398" max="6398" width="9" style="112"/>
    <col min="6399" max="6399" width="10" style="112" bestFit="1" customWidth="1"/>
    <col min="6400" max="6400" width="9" style="112" bestFit="1" customWidth="1"/>
    <col min="6401" max="6402" width="9" style="112"/>
    <col min="6403" max="6403" width="11.28515625" style="112" bestFit="1" customWidth="1"/>
    <col min="6404" max="6404" width="11.28515625" style="112" customWidth="1"/>
    <col min="6405" max="6405" width="7.85546875" style="112" customWidth="1"/>
    <col min="6406" max="6406" width="11" style="112" bestFit="1" customWidth="1"/>
    <col min="6407" max="6652" width="9" style="112"/>
    <col min="6653" max="6653" width="10.42578125" style="112" bestFit="1" customWidth="1"/>
    <col min="6654" max="6654" width="9" style="112"/>
    <col min="6655" max="6655" width="10" style="112" bestFit="1" customWidth="1"/>
    <col min="6656" max="6656" width="9" style="112" bestFit="1" customWidth="1"/>
    <col min="6657" max="6658" width="9" style="112"/>
    <col min="6659" max="6659" width="11.28515625" style="112" bestFit="1" customWidth="1"/>
    <col min="6660" max="6660" width="11.28515625" style="112" customWidth="1"/>
    <col min="6661" max="6661" width="7.85546875" style="112" customWidth="1"/>
    <col min="6662" max="6662" width="11" style="112" bestFit="1" customWidth="1"/>
    <col min="6663" max="6908" width="9" style="112"/>
    <col min="6909" max="6909" width="10.42578125" style="112" bestFit="1" customWidth="1"/>
    <col min="6910" max="6910" width="9" style="112"/>
    <col min="6911" max="6911" width="10" style="112" bestFit="1" customWidth="1"/>
    <col min="6912" max="6912" width="9" style="112" bestFit="1" customWidth="1"/>
    <col min="6913" max="6914" width="9" style="112"/>
    <col min="6915" max="6915" width="11.28515625" style="112" bestFit="1" customWidth="1"/>
    <col min="6916" max="6916" width="11.28515625" style="112" customWidth="1"/>
    <col min="6917" max="6917" width="7.85546875" style="112" customWidth="1"/>
    <col min="6918" max="6918" width="11" style="112" bestFit="1" customWidth="1"/>
    <col min="6919" max="7164" width="9" style="112"/>
    <col min="7165" max="7165" width="10.42578125" style="112" bestFit="1" customWidth="1"/>
    <col min="7166" max="7166" width="9" style="112"/>
    <col min="7167" max="7167" width="10" style="112" bestFit="1" customWidth="1"/>
    <col min="7168" max="7168" width="9" style="112" bestFit="1" customWidth="1"/>
    <col min="7169" max="7170" width="9" style="112"/>
    <col min="7171" max="7171" width="11.28515625" style="112" bestFit="1" customWidth="1"/>
    <col min="7172" max="7172" width="11.28515625" style="112" customWidth="1"/>
    <col min="7173" max="7173" width="7.85546875" style="112" customWidth="1"/>
    <col min="7174" max="7174" width="11" style="112" bestFit="1" customWidth="1"/>
    <col min="7175" max="7420" width="9" style="112"/>
    <col min="7421" max="7421" width="10.42578125" style="112" bestFit="1" customWidth="1"/>
    <col min="7422" max="7422" width="9" style="112"/>
    <col min="7423" max="7423" width="10" style="112" bestFit="1" customWidth="1"/>
    <col min="7424" max="7424" width="9" style="112" bestFit="1" customWidth="1"/>
    <col min="7425" max="7426" width="9" style="112"/>
    <col min="7427" max="7427" width="11.28515625" style="112" bestFit="1" customWidth="1"/>
    <col min="7428" max="7428" width="11.28515625" style="112" customWidth="1"/>
    <col min="7429" max="7429" width="7.85546875" style="112" customWidth="1"/>
    <col min="7430" max="7430" width="11" style="112" bestFit="1" customWidth="1"/>
    <col min="7431" max="7676" width="9" style="112"/>
    <col min="7677" max="7677" width="10.42578125" style="112" bestFit="1" customWidth="1"/>
    <col min="7678" max="7678" width="9" style="112"/>
    <col min="7679" max="7679" width="10" style="112" bestFit="1" customWidth="1"/>
    <col min="7680" max="7680" width="9" style="112" bestFit="1" customWidth="1"/>
    <col min="7681" max="7682" width="9" style="112"/>
    <col min="7683" max="7683" width="11.28515625" style="112" bestFit="1" customWidth="1"/>
    <col min="7684" max="7684" width="11.28515625" style="112" customWidth="1"/>
    <col min="7685" max="7685" width="7.85546875" style="112" customWidth="1"/>
    <col min="7686" max="7686" width="11" style="112" bestFit="1" customWidth="1"/>
    <col min="7687" max="7932" width="9" style="112"/>
    <col min="7933" max="7933" width="10.42578125" style="112" bestFit="1" customWidth="1"/>
    <col min="7934" max="7934" width="9" style="112"/>
    <col min="7935" max="7935" width="10" style="112" bestFit="1" customWidth="1"/>
    <col min="7936" max="7936" width="9" style="112" bestFit="1" customWidth="1"/>
    <col min="7937" max="7938" width="9" style="112"/>
    <col min="7939" max="7939" width="11.28515625" style="112" bestFit="1" customWidth="1"/>
    <col min="7940" max="7940" width="11.28515625" style="112" customWidth="1"/>
    <col min="7941" max="7941" width="7.85546875" style="112" customWidth="1"/>
    <col min="7942" max="7942" width="11" style="112" bestFit="1" customWidth="1"/>
    <col min="7943" max="8188" width="9" style="112"/>
    <col min="8189" max="8189" width="10.42578125" style="112" bestFit="1" customWidth="1"/>
    <col min="8190" max="8190" width="9" style="112"/>
    <col min="8191" max="8191" width="10" style="112" bestFit="1" customWidth="1"/>
    <col min="8192" max="8192" width="9" style="112" bestFit="1" customWidth="1"/>
    <col min="8193" max="8194" width="9" style="112"/>
    <col min="8195" max="8195" width="11.28515625" style="112" bestFit="1" customWidth="1"/>
    <col min="8196" max="8196" width="11.28515625" style="112" customWidth="1"/>
    <col min="8197" max="8197" width="7.85546875" style="112" customWidth="1"/>
    <col min="8198" max="8198" width="11" style="112" bestFit="1" customWidth="1"/>
    <col min="8199" max="8444" width="9" style="112"/>
    <col min="8445" max="8445" width="10.42578125" style="112" bestFit="1" customWidth="1"/>
    <col min="8446" max="8446" width="9" style="112"/>
    <col min="8447" max="8447" width="10" style="112" bestFit="1" customWidth="1"/>
    <col min="8448" max="8448" width="9" style="112" bestFit="1" customWidth="1"/>
    <col min="8449" max="8450" width="9" style="112"/>
    <col min="8451" max="8451" width="11.28515625" style="112" bestFit="1" customWidth="1"/>
    <col min="8452" max="8452" width="11.28515625" style="112" customWidth="1"/>
    <col min="8453" max="8453" width="7.85546875" style="112" customWidth="1"/>
    <col min="8454" max="8454" width="11" style="112" bestFit="1" customWidth="1"/>
    <col min="8455" max="8700" width="9" style="112"/>
    <col min="8701" max="8701" width="10.42578125" style="112" bestFit="1" customWidth="1"/>
    <col min="8702" max="8702" width="9" style="112"/>
    <col min="8703" max="8703" width="10" style="112" bestFit="1" customWidth="1"/>
    <col min="8704" max="8704" width="9" style="112" bestFit="1" customWidth="1"/>
    <col min="8705" max="8706" width="9" style="112"/>
    <col min="8707" max="8707" width="11.28515625" style="112" bestFit="1" customWidth="1"/>
    <col min="8708" max="8708" width="11.28515625" style="112" customWidth="1"/>
    <col min="8709" max="8709" width="7.85546875" style="112" customWidth="1"/>
    <col min="8710" max="8710" width="11" style="112" bestFit="1" customWidth="1"/>
    <col min="8711" max="8956" width="9" style="112"/>
    <col min="8957" max="8957" width="10.42578125" style="112" bestFit="1" customWidth="1"/>
    <col min="8958" max="8958" width="9" style="112"/>
    <col min="8959" max="8959" width="10" style="112" bestFit="1" customWidth="1"/>
    <col min="8960" max="8960" width="9" style="112" bestFit="1" customWidth="1"/>
    <col min="8961" max="8962" width="9" style="112"/>
    <col min="8963" max="8963" width="11.28515625" style="112" bestFit="1" customWidth="1"/>
    <col min="8964" max="8964" width="11.28515625" style="112" customWidth="1"/>
    <col min="8965" max="8965" width="7.85546875" style="112" customWidth="1"/>
    <col min="8966" max="8966" width="11" style="112" bestFit="1" customWidth="1"/>
    <col min="8967" max="9212" width="9" style="112"/>
    <col min="9213" max="9213" width="10.42578125" style="112" bestFit="1" customWidth="1"/>
    <col min="9214" max="9214" width="9" style="112"/>
    <col min="9215" max="9215" width="10" style="112" bestFit="1" customWidth="1"/>
    <col min="9216" max="9216" width="9" style="112" bestFit="1" customWidth="1"/>
    <col min="9217" max="9218" width="9" style="112"/>
    <col min="9219" max="9219" width="11.28515625" style="112" bestFit="1" customWidth="1"/>
    <col min="9220" max="9220" width="11.28515625" style="112" customWidth="1"/>
    <col min="9221" max="9221" width="7.85546875" style="112" customWidth="1"/>
    <col min="9222" max="9222" width="11" style="112" bestFit="1" customWidth="1"/>
    <col min="9223" max="9468" width="9" style="112"/>
    <col min="9469" max="9469" width="10.42578125" style="112" bestFit="1" customWidth="1"/>
    <col min="9470" max="9470" width="9" style="112"/>
    <col min="9471" max="9471" width="10" style="112" bestFit="1" customWidth="1"/>
    <col min="9472" max="9472" width="9" style="112" bestFit="1" customWidth="1"/>
    <col min="9473" max="9474" width="9" style="112"/>
    <col min="9475" max="9475" width="11.28515625" style="112" bestFit="1" customWidth="1"/>
    <col min="9476" max="9476" width="11.28515625" style="112" customWidth="1"/>
    <col min="9477" max="9477" width="7.85546875" style="112" customWidth="1"/>
    <col min="9478" max="9478" width="11" style="112" bestFit="1" customWidth="1"/>
    <col min="9479" max="9724" width="9" style="112"/>
    <col min="9725" max="9725" width="10.42578125" style="112" bestFit="1" customWidth="1"/>
    <col min="9726" max="9726" width="9" style="112"/>
    <col min="9727" max="9727" width="10" style="112" bestFit="1" customWidth="1"/>
    <col min="9728" max="9728" width="9" style="112" bestFit="1" customWidth="1"/>
    <col min="9729" max="9730" width="9" style="112"/>
    <col min="9731" max="9731" width="11.28515625" style="112" bestFit="1" customWidth="1"/>
    <col min="9732" max="9732" width="11.28515625" style="112" customWidth="1"/>
    <col min="9733" max="9733" width="7.85546875" style="112" customWidth="1"/>
    <col min="9734" max="9734" width="11" style="112" bestFit="1" customWidth="1"/>
    <col min="9735" max="9980" width="9" style="112"/>
    <col min="9981" max="9981" width="10.42578125" style="112" bestFit="1" customWidth="1"/>
    <col min="9982" max="9982" width="9" style="112"/>
    <col min="9983" max="9983" width="10" style="112" bestFit="1" customWidth="1"/>
    <col min="9984" max="9984" width="9" style="112" bestFit="1" customWidth="1"/>
    <col min="9985" max="9986" width="9" style="112"/>
    <col min="9987" max="9987" width="11.28515625" style="112" bestFit="1" customWidth="1"/>
    <col min="9988" max="9988" width="11.28515625" style="112" customWidth="1"/>
    <col min="9989" max="9989" width="7.85546875" style="112" customWidth="1"/>
    <col min="9990" max="9990" width="11" style="112" bestFit="1" customWidth="1"/>
    <col min="9991" max="10236" width="9" style="112"/>
    <col min="10237" max="10237" width="10.42578125" style="112" bestFit="1" customWidth="1"/>
    <col min="10238" max="10238" width="9" style="112"/>
    <col min="10239" max="10239" width="10" style="112" bestFit="1" customWidth="1"/>
    <col min="10240" max="10240" width="9" style="112" bestFit="1" customWidth="1"/>
    <col min="10241" max="10242" width="9" style="112"/>
    <col min="10243" max="10243" width="11.28515625" style="112" bestFit="1" customWidth="1"/>
    <col min="10244" max="10244" width="11.28515625" style="112" customWidth="1"/>
    <col min="10245" max="10245" width="7.85546875" style="112" customWidth="1"/>
    <col min="10246" max="10246" width="11" style="112" bestFit="1" customWidth="1"/>
    <col min="10247" max="10492" width="9" style="112"/>
    <col min="10493" max="10493" width="10.42578125" style="112" bestFit="1" customWidth="1"/>
    <col min="10494" max="10494" width="9" style="112"/>
    <col min="10495" max="10495" width="10" style="112" bestFit="1" customWidth="1"/>
    <col min="10496" max="10496" width="9" style="112" bestFit="1" customWidth="1"/>
    <col min="10497" max="10498" width="9" style="112"/>
    <col min="10499" max="10499" width="11.28515625" style="112" bestFit="1" customWidth="1"/>
    <col min="10500" max="10500" width="11.28515625" style="112" customWidth="1"/>
    <col min="10501" max="10501" width="7.85546875" style="112" customWidth="1"/>
    <col min="10502" max="10502" width="11" style="112" bestFit="1" customWidth="1"/>
    <col min="10503" max="10748" width="9" style="112"/>
    <col min="10749" max="10749" width="10.42578125" style="112" bestFit="1" customWidth="1"/>
    <col min="10750" max="10750" width="9" style="112"/>
    <col min="10751" max="10751" width="10" style="112" bestFit="1" customWidth="1"/>
    <col min="10752" max="10752" width="9" style="112" bestFit="1" customWidth="1"/>
    <col min="10753" max="10754" width="9" style="112"/>
    <col min="10755" max="10755" width="11.28515625" style="112" bestFit="1" customWidth="1"/>
    <col min="10756" max="10756" width="11.28515625" style="112" customWidth="1"/>
    <col min="10757" max="10757" width="7.85546875" style="112" customWidth="1"/>
    <col min="10758" max="10758" width="11" style="112" bestFit="1" customWidth="1"/>
    <col min="10759" max="11004" width="9" style="112"/>
    <col min="11005" max="11005" width="10.42578125" style="112" bestFit="1" customWidth="1"/>
    <col min="11006" max="11006" width="9" style="112"/>
    <col min="11007" max="11007" width="10" style="112" bestFit="1" customWidth="1"/>
    <col min="11008" max="11008" width="9" style="112" bestFit="1" customWidth="1"/>
    <col min="11009" max="11010" width="9" style="112"/>
    <col min="11011" max="11011" width="11.28515625" style="112" bestFit="1" customWidth="1"/>
    <col min="11012" max="11012" width="11.28515625" style="112" customWidth="1"/>
    <col min="11013" max="11013" width="7.85546875" style="112" customWidth="1"/>
    <col min="11014" max="11014" width="11" style="112" bestFit="1" customWidth="1"/>
    <col min="11015" max="11260" width="9" style="112"/>
    <col min="11261" max="11261" width="10.42578125" style="112" bestFit="1" customWidth="1"/>
    <col min="11262" max="11262" width="9" style="112"/>
    <col min="11263" max="11263" width="10" style="112" bestFit="1" customWidth="1"/>
    <col min="11264" max="11264" width="9" style="112" bestFit="1" customWidth="1"/>
    <col min="11265" max="11266" width="9" style="112"/>
    <col min="11267" max="11267" width="11.28515625" style="112" bestFit="1" customWidth="1"/>
    <col min="11268" max="11268" width="11.28515625" style="112" customWidth="1"/>
    <col min="11269" max="11269" width="7.85546875" style="112" customWidth="1"/>
    <col min="11270" max="11270" width="11" style="112" bestFit="1" customWidth="1"/>
    <col min="11271" max="11516" width="9" style="112"/>
    <col min="11517" max="11517" width="10.42578125" style="112" bestFit="1" customWidth="1"/>
    <col min="11518" max="11518" width="9" style="112"/>
    <col min="11519" max="11519" width="10" style="112" bestFit="1" customWidth="1"/>
    <col min="11520" max="11520" width="9" style="112" bestFit="1" customWidth="1"/>
    <col min="11521" max="11522" width="9" style="112"/>
    <col min="11523" max="11523" width="11.28515625" style="112" bestFit="1" customWidth="1"/>
    <col min="11524" max="11524" width="11.28515625" style="112" customWidth="1"/>
    <col min="11525" max="11525" width="7.85546875" style="112" customWidth="1"/>
    <col min="11526" max="11526" width="11" style="112" bestFit="1" customWidth="1"/>
    <col min="11527" max="11772" width="9" style="112"/>
    <col min="11773" max="11773" width="10.42578125" style="112" bestFit="1" customWidth="1"/>
    <col min="11774" max="11774" width="9" style="112"/>
    <col min="11775" max="11775" width="10" style="112" bestFit="1" customWidth="1"/>
    <col min="11776" max="11776" width="9" style="112" bestFit="1" customWidth="1"/>
    <col min="11777" max="11778" width="9" style="112"/>
    <col min="11779" max="11779" width="11.28515625" style="112" bestFit="1" customWidth="1"/>
    <col min="11780" max="11780" width="11.28515625" style="112" customWidth="1"/>
    <col min="11781" max="11781" width="7.85546875" style="112" customWidth="1"/>
    <col min="11782" max="11782" width="11" style="112" bestFit="1" customWidth="1"/>
    <col min="11783" max="12028" width="9" style="112"/>
    <col min="12029" max="12029" width="10.42578125" style="112" bestFit="1" customWidth="1"/>
    <col min="12030" max="12030" width="9" style="112"/>
    <col min="12031" max="12031" width="10" style="112" bestFit="1" customWidth="1"/>
    <col min="12032" max="12032" width="9" style="112" bestFit="1" customWidth="1"/>
    <col min="12033" max="12034" width="9" style="112"/>
    <col min="12035" max="12035" width="11.28515625" style="112" bestFit="1" customWidth="1"/>
    <col min="12036" max="12036" width="11.28515625" style="112" customWidth="1"/>
    <col min="12037" max="12037" width="7.85546875" style="112" customWidth="1"/>
    <col min="12038" max="12038" width="11" style="112" bestFit="1" customWidth="1"/>
    <col min="12039" max="12284" width="9" style="112"/>
    <col min="12285" max="12285" width="10.42578125" style="112" bestFit="1" customWidth="1"/>
    <col min="12286" max="12286" width="9" style="112"/>
    <col min="12287" max="12287" width="10" style="112" bestFit="1" customWidth="1"/>
    <col min="12288" max="12288" width="9" style="112" bestFit="1" customWidth="1"/>
    <col min="12289" max="12290" width="9" style="112"/>
    <col min="12291" max="12291" width="11.28515625" style="112" bestFit="1" customWidth="1"/>
    <col min="12292" max="12292" width="11.28515625" style="112" customWidth="1"/>
    <col min="12293" max="12293" width="7.85546875" style="112" customWidth="1"/>
    <col min="12294" max="12294" width="11" style="112" bestFit="1" customWidth="1"/>
    <col min="12295" max="12540" width="9" style="112"/>
    <col min="12541" max="12541" width="10.42578125" style="112" bestFit="1" customWidth="1"/>
    <col min="12542" max="12542" width="9" style="112"/>
    <col min="12543" max="12543" width="10" style="112" bestFit="1" customWidth="1"/>
    <col min="12544" max="12544" width="9" style="112" bestFit="1" customWidth="1"/>
    <col min="12545" max="12546" width="9" style="112"/>
    <col min="12547" max="12547" width="11.28515625" style="112" bestFit="1" customWidth="1"/>
    <col min="12548" max="12548" width="11.28515625" style="112" customWidth="1"/>
    <col min="12549" max="12549" width="7.85546875" style="112" customWidth="1"/>
    <col min="12550" max="12550" width="11" style="112" bestFit="1" customWidth="1"/>
    <col min="12551" max="12796" width="9" style="112"/>
    <col min="12797" max="12797" width="10.42578125" style="112" bestFit="1" customWidth="1"/>
    <col min="12798" max="12798" width="9" style="112"/>
    <col min="12799" max="12799" width="10" style="112" bestFit="1" customWidth="1"/>
    <col min="12800" max="12800" width="9" style="112" bestFit="1" customWidth="1"/>
    <col min="12801" max="12802" width="9" style="112"/>
    <col min="12803" max="12803" width="11.28515625" style="112" bestFit="1" customWidth="1"/>
    <col min="12804" max="12804" width="11.28515625" style="112" customWidth="1"/>
    <col min="12805" max="12805" width="7.85546875" style="112" customWidth="1"/>
    <col min="12806" max="12806" width="11" style="112" bestFit="1" customWidth="1"/>
    <col min="12807" max="13052" width="9" style="112"/>
    <col min="13053" max="13053" width="10.42578125" style="112" bestFit="1" customWidth="1"/>
    <col min="13054" max="13054" width="9" style="112"/>
    <col min="13055" max="13055" width="10" style="112" bestFit="1" customWidth="1"/>
    <col min="13056" max="13056" width="9" style="112" bestFit="1" customWidth="1"/>
    <col min="13057" max="13058" width="9" style="112"/>
    <col min="13059" max="13059" width="11.28515625" style="112" bestFit="1" customWidth="1"/>
    <col min="13060" max="13060" width="11.28515625" style="112" customWidth="1"/>
    <col min="13061" max="13061" width="7.85546875" style="112" customWidth="1"/>
    <col min="13062" max="13062" width="11" style="112" bestFit="1" customWidth="1"/>
    <col min="13063" max="13308" width="9" style="112"/>
    <col min="13309" max="13309" width="10.42578125" style="112" bestFit="1" customWidth="1"/>
    <col min="13310" max="13310" width="9" style="112"/>
    <col min="13311" max="13311" width="10" style="112" bestFit="1" customWidth="1"/>
    <col min="13312" max="13312" width="9" style="112" bestFit="1" customWidth="1"/>
    <col min="13313" max="13314" width="9" style="112"/>
    <col min="13315" max="13315" width="11.28515625" style="112" bestFit="1" customWidth="1"/>
    <col min="13316" max="13316" width="11.28515625" style="112" customWidth="1"/>
    <col min="13317" max="13317" width="7.85546875" style="112" customWidth="1"/>
    <col min="13318" max="13318" width="11" style="112" bestFit="1" customWidth="1"/>
    <col min="13319" max="13564" width="9" style="112"/>
    <col min="13565" max="13565" width="10.42578125" style="112" bestFit="1" customWidth="1"/>
    <col min="13566" max="13566" width="9" style="112"/>
    <col min="13567" max="13567" width="10" style="112" bestFit="1" customWidth="1"/>
    <col min="13568" max="13568" width="9" style="112" bestFit="1" customWidth="1"/>
    <col min="13569" max="13570" width="9" style="112"/>
    <col min="13571" max="13571" width="11.28515625" style="112" bestFit="1" customWidth="1"/>
    <col min="13572" max="13572" width="11.28515625" style="112" customWidth="1"/>
    <col min="13573" max="13573" width="7.85546875" style="112" customWidth="1"/>
    <col min="13574" max="13574" width="11" style="112" bestFit="1" customWidth="1"/>
    <col min="13575" max="13820" width="9" style="112"/>
    <col min="13821" max="13821" width="10.42578125" style="112" bestFit="1" customWidth="1"/>
    <col min="13822" max="13822" width="9" style="112"/>
    <col min="13823" max="13823" width="10" style="112" bestFit="1" customWidth="1"/>
    <col min="13824" max="13824" width="9" style="112" bestFit="1" customWidth="1"/>
    <col min="13825" max="13826" width="9" style="112"/>
    <col min="13827" max="13827" width="11.28515625" style="112" bestFit="1" customWidth="1"/>
    <col min="13828" max="13828" width="11.28515625" style="112" customWidth="1"/>
    <col min="13829" max="13829" width="7.85546875" style="112" customWidth="1"/>
    <col min="13830" max="13830" width="11" style="112" bestFit="1" customWidth="1"/>
    <col min="13831" max="14076" width="9" style="112"/>
    <col min="14077" max="14077" width="10.42578125" style="112" bestFit="1" customWidth="1"/>
    <col min="14078" max="14078" width="9" style="112"/>
    <col min="14079" max="14079" width="10" style="112" bestFit="1" customWidth="1"/>
    <col min="14080" max="14080" width="9" style="112" bestFit="1" customWidth="1"/>
    <col min="14081" max="14082" width="9" style="112"/>
    <col min="14083" max="14083" width="11.28515625" style="112" bestFit="1" customWidth="1"/>
    <col min="14084" max="14084" width="11.28515625" style="112" customWidth="1"/>
    <col min="14085" max="14085" width="7.85546875" style="112" customWidth="1"/>
    <col min="14086" max="14086" width="11" style="112" bestFit="1" customWidth="1"/>
    <col min="14087" max="14332" width="9" style="112"/>
    <col min="14333" max="14333" width="10.42578125" style="112" bestFit="1" customWidth="1"/>
    <col min="14334" max="14334" width="9" style="112"/>
    <col min="14335" max="14335" width="10" style="112" bestFit="1" customWidth="1"/>
    <col min="14336" max="14336" width="9" style="112" bestFit="1" customWidth="1"/>
    <col min="14337" max="14338" width="9" style="112"/>
    <col min="14339" max="14339" width="11.28515625" style="112" bestFit="1" customWidth="1"/>
    <col min="14340" max="14340" width="11.28515625" style="112" customWidth="1"/>
    <col min="14341" max="14341" width="7.85546875" style="112" customWidth="1"/>
    <col min="14342" max="14342" width="11" style="112" bestFit="1" customWidth="1"/>
    <col min="14343" max="14588" width="9" style="112"/>
    <col min="14589" max="14589" width="10.42578125" style="112" bestFit="1" customWidth="1"/>
    <col min="14590" max="14590" width="9" style="112"/>
    <col min="14591" max="14591" width="10" style="112" bestFit="1" customWidth="1"/>
    <col min="14592" max="14592" width="9" style="112" bestFit="1" customWidth="1"/>
    <col min="14593" max="14594" width="9" style="112"/>
    <col min="14595" max="14595" width="11.28515625" style="112" bestFit="1" customWidth="1"/>
    <col min="14596" max="14596" width="11.28515625" style="112" customWidth="1"/>
    <col min="14597" max="14597" width="7.85546875" style="112" customWidth="1"/>
    <col min="14598" max="14598" width="11" style="112" bestFit="1" customWidth="1"/>
    <col min="14599" max="14844" width="9" style="112"/>
    <col min="14845" max="14845" width="10.42578125" style="112" bestFit="1" customWidth="1"/>
    <col min="14846" max="14846" width="9" style="112"/>
    <col min="14847" max="14847" width="10" style="112" bestFit="1" customWidth="1"/>
    <col min="14848" max="14848" width="9" style="112" bestFit="1" customWidth="1"/>
    <col min="14849" max="14850" width="9" style="112"/>
    <col min="14851" max="14851" width="11.28515625" style="112" bestFit="1" customWidth="1"/>
    <col min="14852" max="14852" width="11.28515625" style="112" customWidth="1"/>
    <col min="14853" max="14853" width="7.85546875" style="112" customWidth="1"/>
    <col min="14854" max="14854" width="11" style="112" bestFit="1" customWidth="1"/>
    <col min="14855" max="15100" width="9" style="112"/>
    <col min="15101" max="15101" width="10.42578125" style="112" bestFit="1" customWidth="1"/>
    <col min="15102" max="15102" width="9" style="112"/>
    <col min="15103" max="15103" width="10" style="112" bestFit="1" customWidth="1"/>
    <col min="15104" max="15104" width="9" style="112" bestFit="1" customWidth="1"/>
    <col min="15105" max="15106" width="9" style="112"/>
    <col min="15107" max="15107" width="11.28515625" style="112" bestFit="1" customWidth="1"/>
    <col min="15108" max="15108" width="11.28515625" style="112" customWidth="1"/>
    <col min="15109" max="15109" width="7.85546875" style="112" customWidth="1"/>
    <col min="15110" max="15110" width="11" style="112" bestFit="1" customWidth="1"/>
    <col min="15111" max="15356" width="9" style="112"/>
    <col min="15357" max="15357" width="10.42578125" style="112" bestFit="1" customWidth="1"/>
    <col min="15358" max="15358" width="9" style="112"/>
    <col min="15359" max="15359" width="10" style="112" bestFit="1" customWidth="1"/>
    <col min="15360" max="15360" width="9" style="112" bestFit="1" customWidth="1"/>
    <col min="15361" max="15362" width="9" style="112"/>
    <col min="15363" max="15363" width="11.28515625" style="112" bestFit="1" customWidth="1"/>
    <col min="15364" max="15364" width="11.28515625" style="112" customWidth="1"/>
    <col min="15365" max="15365" width="7.85546875" style="112" customWidth="1"/>
    <col min="15366" max="15366" width="11" style="112" bestFit="1" customWidth="1"/>
    <col min="15367" max="15612" width="9" style="112"/>
    <col min="15613" max="15613" width="10.42578125" style="112" bestFit="1" customWidth="1"/>
    <col min="15614" max="15614" width="9" style="112"/>
    <col min="15615" max="15615" width="10" style="112" bestFit="1" customWidth="1"/>
    <col min="15616" max="15616" width="9" style="112" bestFit="1" customWidth="1"/>
    <col min="15617" max="15618" width="9" style="112"/>
    <col min="15619" max="15619" width="11.28515625" style="112" bestFit="1" customWidth="1"/>
    <col min="15620" max="15620" width="11.28515625" style="112" customWidth="1"/>
    <col min="15621" max="15621" width="7.85546875" style="112" customWidth="1"/>
    <col min="15622" max="15622" width="11" style="112" bestFit="1" customWidth="1"/>
    <col min="15623" max="15868" width="9" style="112"/>
    <col min="15869" max="15869" width="10.42578125" style="112" bestFit="1" customWidth="1"/>
    <col min="15870" max="15870" width="9" style="112"/>
    <col min="15871" max="15871" width="10" style="112" bestFit="1" customWidth="1"/>
    <col min="15872" max="15872" width="9" style="112" bestFit="1" customWidth="1"/>
    <col min="15873" max="15874" width="9" style="112"/>
    <col min="15875" max="15875" width="11.28515625" style="112" bestFit="1" customWidth="1"/>
    <col min="15876" max="15876" width="11.28515625" style="112" customWidth="1"/>
    <col min="15877" max="15877" width="7.85546875" style="112" customWidth="1"/>
    <col min="15878" max="15878" width="11" style="112" bestFit="1" customWidth="1"/>
    <col min="15879" max="16124" width="9" style="112"/>
    <col min="16125" max="16125" width="10.42578125" style="112" bestFit="1" customWidth="1"/>
    <col min="16126" max="16126" width="9" style="112"/>
    <col min="16127" max="16127" width="10" style="112" bestFit="1" customWidth="1"/>
    <col min="16128" max="16128" width="9" style="112" bestFit="1" customWidth="1"/>
    <col min="16129" max="16130" width="9" style="112"/>
    <col min="16131" max="16131" width="11.28515625" style="112" bestFit="1" customWidth="1"/>
    <col min="16132" max="16132" width="11.28515625" style="112" customWidth="1"/>
    <col min="16133" max="16133" width="7.85546875" style="112" customWidth="1"/>
    <col min="16134" max="16134" width="11" style="112" bestFit="1" customWidth="1"/>
    <col min="16135" max="16384" width="9" style="112"/>
  </cols>
  <sheetData>
    <row r="1" spans="1:16" s="117" customFormat="1" ht="26.25" customHeight="1">
      <c r="A1" s="115" t="s">
        <v>10</v>
      </c>
      <c r="B1" s="115" t="s">
        <v>11</v>
      </c>
      <c r="C1" s="115" t="s">
        <v>12</v>
      </c>
      <c r="D1" s="115" t="s">
        <v>13</v>
      </c>
      <c r="E1" s="115" t="s">
        <v>14</v>
      </c>
      <c r="F1" s="116" t="s">
        <v>15</v>
      </c>
      <c r="G1" s="115" t="s">
        <v>16</v>
      </c>
      <c r="H1" s="115" t="s">
        <v>17</v>
      </c>
      <c r="I1" s="115" t="s">
        <v>18</v>
      </c>
      <c r="J1" s="115" t="s">
        <v>19</v>
      </c>
      <c r="K1" s="115" t="s">
        <v>20</v>
      </c>
      <c r="N1" s="118"/>
    </row>
    <row r="2" spans="1:16" ht="26.25" customHeight="1">
      <c r="A2" s="110" t="s">
        <v>21</v>
      </c>
      <c r="B2" s="110" t="s">
        <v>22</v>
      </c>
      <c r="C2" s="119">
        <v>5</v>
      </c>
      <c r="D2" s="119">
        <v>24</v>
      </c>
      <c r="E2" s="119"/>
      <c r="F2" s="111">
        <v>29000</v>
      </c>
      <c r="G2" s="119">
        <v>10</v>
      </c>
      <c r="H2" s="119" t="s">
        <v>23</v>
      </c>
      <c r="I2" s="122"/>
      <c r="J2" s="147"/>
      <c r="K2" s="123"/>
      <c r="M2" s="113"/>
      <c r="P2" s="113"/>
    </row>
    <row r="3" spans="1:16" ht="26.25" customHeight="1">
      <c r="A3" s="110" t="s">
        <v>24</v>
      </c>
      <c r="B3" s="110" t="s">
        <v>25</v>
      </c>
      <c r="C3" s="120">
        <v>7</v>
      </c>
      <c r="D3" s="120">
        <v>35</v>
      </c>
      <c r="E3" s="119"/>
      <c r="F3" s="111">
        <v>41500</v>
      </c>
      <c r="G3" s="119">
        <v>1</v>
      </c>
      <c r="H3" s="119" t="s">
        <v>26</v>
      </c>
      <c r="I3" s="122"/>
      <c r="J3" s="147"/>
      <c r="K3" s="123"/>
      <c r="P3" s="113"/>
    </row>
    <row r="4" spans="1:16" ht="26.25" customHeight="1">
      <c r="A4" s="110" t="s">
        <v>27</v>
      </c>
      <c r="B4" s="110" t="s">
        <v>28</v>
      </c>
      <c r="C4" s="120">
        <v>7</v>
      </c>
      <c r="D4" s="119">
        <v>19</v>
      </c>
      <c r="E4" s="119"/>
      <c r="F4" s="111">
        <v>22000</v>
      </c>
      <c r="G4" s="119">
        <v>2</v>
      </c>
      <c r="H4" s="119" t="s">
        <v>26</v>
      </c>
      <c r="I4" s="122"/>
      <c r="J4" s="147"/>
      <c r="K4" s="123"/>
      <c r="P4" s="113"/>
    </row>
    <row r="5" spans="1:16" ht="26.25" customHeight="1">
      <c r="A5" s="110" t="s">
        <v>29</v>
      </c>
      <c r="B5" s="110" t="s">
        <v>30</v>
      </c>
      <c r="C5" s="120">
        <v>7</v>
      </c>
      <c r="D5" s="119">
        <v>23</v>
      </c>
      <c r="E5" s="119"/>
      <c r="F5" s="111">
        <v>25000</v>
      </c>
      <c r="G5" s="119">
        <v>2</v>
      </c>
      <c r="H5" s="119" t="s">
        <v>26</v>
      </c>
      <c r="I5" s="122"/>
      <c r="J5" s="147"/>
      <c r="K5" s="123"/>
    </row>
    <row r="6" spans="1:16" ht="26.25" customHeight="1">
      <c r="A6" s="110" t="s">
        <v>31</v>
      </c>
      <c r="B6" s="110" t="s">
        <v>32</v>
      </c>
      <c r="C6" s="119">
        <v>7</v>
      </c>
      <c r="D6" s="119">
        <v>35</v>
      </c>
      <c r="E6" s="119"/>
      <c r="F6" s="111">
        <v>43500</v>
      </c>
      <c r="G6" s="119">
        <v>10</v>
      </c>
      <c r="H6" s="119" t="s">
        <v>26</v>
      </c>
      <c r="I6" s="122"/>
      <c r="J6" s="147"/>
      <c r="K6" s="123"/>
    </row>
    <row r="7" spans="1:16" ht="26.25" customHeight="1">
      <c r="A7" s="110" t="s">
        <v>33</v>
      </c>
      <c r="B7" s="110" t="s">
        <v>34</v>
      </c>
      <c r="C7" s="120">
        <v>6</v>
      </c>
      <c r="D7" s="119">
        <v>35</v>
      </c>
      <c r="E7" s="119"/>
      <c r="F7" s="111">
        <v>39000</v>
      </c>
      <c r="G7" s="119">
        <v>5</v>
      </c>
      <c r="H7" s="119" t="s">
        <v>23</v>
      </c>
      <c r="I7" s="122"/>
      <c r="J7" s="147"/>
      <c r="K7" s="123"/>
    </row>
    <row r="8" spans="1:16" ht="26.25" customHeight="1">
      <c r="A8" s="110" t="s">
        <v>35</v>
      </c>
      <c r="B8" s="110" t="s">
        <v>36</v>
      </c>
      <c r="C8" s="120">
        <v>11</v>
      </c>
      <c r="D8" s="119">
        <v>35</v>
      </c>
      <c r="E8" s="119"/>
      <c r="F8" s="111">
        <v>75000</v>
      </c>
      <c r="G8" s="120">
        <v>15</v>
      </c>
      <c r="H8" s="119" t="s">
        <v>37</v>
      </c>
      <c r="I8" s="122"/>
      <c r="J8" s="147"/>
      <c r="K8" s="123"/>
    </row>
    <row r="9" spans="1:16" ht="26.25" customHeight="1">
      <c r="A9" s="110" t="s">
        <v>38</v>
      </c>
      <c r="B9" s="110" t="s">
        <v>39</v>
      </c>
      <c r="C9" s="120">
        <v>5</v>
      </c>
      <c r="D9" s="120">
        <v>24</v>
      </c>
      <c r="E9" s="119"/>
      <c r="F9" s="111">
        <v>29000</v>
      </c>
      <c r="G9" s="119">
        <v>2</v>
      </c>
      <c r="H9" s="119" t="s">
        <v>26</v>
      </c>
      <c r="I9" s="122"/>
      <c r="J9" s="147"/>
      <c r="K9" s="123"/>
    </row>
    <row r="10" spans="1:16" ht="26.25" customHeight="1">
      <c r="A10" s="110" t="s">
        <v>40</v>
      </c>
      <c r="B10" s="110" t="s">
        <v>41</v>
      </c>
      <c r="C10" s="119">
        <v>5</v>
      </c>
      <c r="D10" s="119">
        <v>35</v>
      </c>
      <c r="E10" s="119"/>
      <c r="F10" s="111">
        <v>35000</v>
      </c>
      <c r="G10" s="119">
        <v>15</v>
      </c>
      <c r="H10" s="119" t="s">
        <v>26</v>
      </c>
      <c r="I10" s="122"/>
      <c r="J10" s="147"/>
      <c r="K10" s="123"/>
    </row>
    <row r="11" spans="1:16" ht="26.25" customHeight="1">
      <c r="A11" s="110" t="s">
        <v>42</v>
      </c>
      <c r="B11" s="110" t="s">
        <v>43</v>
      </c>
      <c r="C11" s="120">
        <v>12</v>
      </c>
      <c r="D11" s="119">
        <v>35</v>
      </c>
      <c r="E11" s="119"/>
      <c r="F11" s="111">
        <v>80000</v>
      </c>
      <c r="G11" s="119">
        <v>5</v>
      </c>
      <c r="H11" s="119" t="s">
        <v>37</v>
      </c>
      <c r="I11" s="122"/>
      <c r="J11" s="147"/>
      <c r="K11" s="123"/>
    </row>
    <row r="12" spans="1:16" ht="26.25" customHeight="1">
      <c r="A12" s="110" t="s">
        <v>44</v>
      </c>
      <c r="B12" s="110" t="s">
        <v>45</v>
      </c>
      <c r="C12" s="120">
        <v>8</v>
      </c>
      <c r="D12" s="119">
        <v>35</v>
      </c>
      <c r="E12" s="119"/>
      <c r="F12" s="111">
        <v>45100</v>
      </c>
      <c r="G12" s="120">
        <v>4</v>
      </c>
      <c r="H12" s="119" t="s">
        <v>26</v>
      </c>
      <c r="I12" s="122"/>
      <c r="J12" s="147"/>
      <c r="K12" s="123"/>
    </row>
    <row r="13" spans="1:16" ht="26.25" customHeight="1">
      <c r="A13" s="110" t="s">
        <v>44</v>
      </c>
      <c r="B13" s="110" t="s">
        <v>46</v>
      </c>
      <c r="C13" s="120">
        <v>11</v>
      </c>
      <c r="D13" s="119">
        <v>35</v>
      </c>
      <c r="E13" s="119"/>
      <c r="F13" s="111">
        <v>75000</v>
      </c>
      <c r="G13" s="119">
        <v>25</v>
      </c>
      <c r="H13" s="119" t="s">
        <v>37</v>
      </c>
      <c r="I13" s="122"/>
      <c r="J13" s="147"/>
      <c r="K13" s="123"/>
    </row>
  </sheetData>
  <sortState xmlns:xlrd2="http://schemas.microsoft.com/office/spreadsheetml/2017/richdata2" ref="A2:K13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8C7B-AEEF-43B5-805B-EEA1DCD4AC03}">
  <sheetPr codeName="Sheet3">
    <tabColor theme="4" tint="-0.249977111117893"/>
  </sheetPr>
  <dimension ref="A1:S33"/>
  <sheetViews>
    <sheetView topLeftCell="A11" zoomScaleNormal="100" workbookViewId="0">
      <selection activeCell="F2" sqref="F2:F26"/>
    </sheetView>
  </sheetViews>
  <sheetFormatPr defaultColWidth="9.140625" defaultRowHeight="15.75" customHeight="1"/>
  <cols>
    <col min="1" max="1" width="13.28515625" style="125" bestFit="1" customWidth="1"/>
    <col min="2" max="2" width="20.7109375" style="125" customWidth="1"/>
    <col min="3" max="3" width="49.85546875" style="125" customWidth="1"/>
    <col min="4" max="4" width="12.85546875" style="125" bestFit="1" customWidth="1"/>
    <col min="5" max="5" width="12.5703125" style="125" customWidth="1"/>
    <col min="6" max="6" width="20.28515625" style="125" customWidth="1"/>
    <col min="7" max="16384" width="9.140625" style="125"/>
  </cols>
  <sheetData>
    <row r="1" spans="1:19" ht="15.75" customHeight="1">
      <c r="A1" s="124" t="s">
        <v>47</v>
      </c>
      <c r="B1" s="124" t="s">
        <v>48</v>
      </c>
      <c r="C1" s="124" t="s">
        <v>49</v>
      </c>
      <c r="D1" s="124" t="s">
        <v>50</v>
      </c>
      <c r="E1" s="124" t="s">
        <v>51</v>
      </c>
      <c r="F1" s="124" t="s">
        <v>12</v>
      </c>
    </row>
    <row r="2" spans="1:19" ht="15.75" customHeight="1">
      <c r="A2" s="126">
        <v>3</v>
      </c>
      <c r="B2" s="126" t="s">
        <v>52</v>
      </c>
      <c r="C2" s="126" t="s">
        <v>53</v>
      </c>
      <c r="D2" s="126">
        <v>78</v>
      </c>
      <c r="E2" s="126"/>
      <c r="F2" s="129"/>
      <c r="I2" s="154"/>
      <c r="J2" s="154"/>
    </row>
    <row r="3" spans="1:19" ht="15.75" customHeight="1">
      <c r="A3" s="126">
        <v>6</v>
      </c>
      <c r="B3" s="126" t="s">
        <v>54</v>
      </c>
      <c r="C3" s="126" t="s">
        <v>55</v>
      </c>
      <c r="D3" s="126">
        <v>34</v>
      </c>
      <c r="E3" s="126"/>
      <c r="F3" s="129"/>
      <c r="G3" s="127"/>
      <c r="H3" s="127"/>
      <c r="I3" s="155"/>
      <c r="J3" s="154"/>
    </row>
    <row r="4" spans="1:19" ht="15.75" customHeight="1">
      <c r="A4" s="126">
        <v>15</v>
      </c>
      <c r="B4" s="126" t="s">
        <v>56</v>
      </c>
      <c r="C4" s="126" t="s">
        <v>53</v>
      </c>
      <c r="D4" s="126">
        <v>78</v>
      </c>
      <c r="E4" s="126"/>
      <c r="F4" s="129"/>
      <c r="I4" s="154"/>
      <c r="J4" s="154"/>
    </row>
    <row r="5" spans="1:19" ht="15.75" customHeight="1">
      <c r="A5" s="126">
        <v>14</v>
      </c>
      <c r="B5" s="126" t="s">
        <v>57</v>
      </c>
      <c r="C5" s="126" t="s">
        <v>58</v>
      </c>
      <c r="D5" s="126">
        <v>45</v>
      </c>
      <c r="E5" s="126"/>
      <c r="F5" s="129"/>
      <c r="I5" s="154"/>
      <c r="J5" s="154"/>
      <c r="K5" s="128"/>
      <c r="L5" s="128"/>
      <c r="M5" s="128"/>
      <c r="N5" s="128"/>
      <c r="O5" s="128"/>
      <c r="P5" s="128"/>
      <c r="Q5" s="128"/>
      <c r="R5" s="128"/>
      <c r="S5" s="128"/>
    </row>
    <row r="6" spans="1:19" ht="15.75" customHeight="1">
      <c r="A6" s="126">
        <v>13</v>
      </c>
      <c r="B6" s="126" t="s">
        <v>59</v>
      </c>
      <c r="C6" s="126" t="s">
        <v>60</v>
      </c>
      <c r="D6" s="126">
        <v>56</v>
      </c>
      <c r="E6" s="126"/>
      <c r="F6" s="129"/>
      <c r="I6" s="154"/>
      <c r="J6" s="154"/>
      <c r="K6" s="128"/>
      <c r="L6" s="128"/>
      <c r="M6" s="128"/>
      <c r="N6" s="128"/>
      <c r="O6" s="128"/>
      <c r="P6" s="128"/>
      <c r="Q6" s="128"/>
      <c r="R6" s="128"/>
      <c r="S6" s="128"/>
    </row>
    <row r="7" spans="1:19" ht="15.75" customHeight="1">
      <c r="A7" s="126">
        <v>18</v>
      </c>
      <c r="B7" s="126" t="s">
        <v>61</v>
      </c>
      <c r="C7" s="126" t="s">
        <v>55</v>
      </c>
      <c r="D7" s="126">
        <v>96</v>
      </c>
      <c r="E7" s="126"/>
      <c r="F7" s="129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</row>
    <row r="8" spans="1:19" ht="15.75" customHeight="1">
      <c r="A8" s="126">
        <v>24</v>
      </c>
      <c r="B8" s="126" t="s">
        <v>62</v>
      </c>
      <c r="C8" s="126" t="s">
        <v>53</v>
      </c>
      <c r="D8" s="126">
        <v>56</v>
      </c>
      <c r="E8" s="126"/>
      <c r="F8" s="129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</row>
    <row r="9" spans="1:19" ht="15.75" customHeight="1">
      <c r="A9" s="126">
        <v>1</v>
      </c>
      <c r="B9" s="126" t="s">
        <v>63</v>
      </c>
      <c r="C9" s="126" t="s">
        <v>60</v>
      </c>
      <c r="D9" s="126">
        <v>60</v>
      </c>
      <c r="E9" s="126"/>
      <c r="F9" s="129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</row>
    <row r="10" spans="1:19" ht="15.75" customHeight="1">
      <c r="A10" s="126">
        <v>11</v>
      </c>
      <c r="B10" s="126" t="s">
        <v>64</v>
      </c>
      <c r="C10" s="126" t="s">
        <v>60</v>
      </c>
      <c r="D10" s="126">
        <v>67</v>
      </c>
      <c r="E10" s="126"/>
      <c r="F10" s="129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</row>
    <row r="11" spans="1:19" ht="15.75" customHeight="1">
      <c r="A11" s="126">
        <v>22</v>
      </c>
      <c r="B11" s="126" t="s">
        <v>65</v>
      </c>
      <c r="C11" s="126" t="s">
        <v>66</v>
      </c>
      <c r="D11" s="126">
        <v>67</v>
      </c>
      <c r="E11" s="126"/>
      <c r="F11" s="129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</row>
    <row r="12" spans="1:19" ht="15.75" customHeight="1">
      <c r="A12" s="126">
        <v>5</v>
      </c>
      <c r="B12" s="126" t="s">
        <v>67</v>
      </c>
      <c r="C12" s="126" t="s">
        <v>68</v>
      </c>
      <c r="D12" s="126">
        <v>70</v>
      </c>
      <c r="E12" s="126"/>
      <c r="F12" s="129"/>
    </row>
    <row r="13" spans="1:19" ht="15.75" customHeight="1">
      <c r="A13" s="126">
        <v>17</v>
      </c>
      <c r="B13" s="126" t="s">
        <v>69</v>
      </c>
      <c r="C13" s="126" t="s">
        <v>68</v>
      </c>
      <c r="D13" s="126">
        <v>76</v>
      </c>
      <c r="E13" s="126"/>
      <c r="F13" s="129"/>
    </row>
    <row r="14" spans="1:19" ht="15.75" customHeight="1">
      <c r="A14" s="126">
        <v>25</v>
      </c>
      <c r="B14" s="126" t="s">
        <v>54</v>
      </c>
      <c r="C14" s="126" t="s">
        <v>66</v>
      </c>
      <c r="D14" s="126">
        <v>76</v>
      </c>
      <c r="E14" s="126"/>
      <c r="F14" s="129"/>
    </row>
    <row r="15" spans="1:19" ht="15.75" customHeight="1">
      <c r="A15" s="126">
        <v>7</v>
      </c>
      <c r="B15" s="126" t="s">
        <v>70</v>
      </c>
      <c r="C15" s="126" t="s">
        <v>71</v>
      </c>
      <c r="D15" s="126">
        <v>78</v>
      </c>
      <c r="E15" s="126"/>
      <c r="F15" s="129"/>
    </row>
    <row r="16" spans="1:19" ht="15.75" customHeight="1">
      <c r="A16" s="126">
        <v>9</v>
      </c>
      <c r="B16" s="126" t="s">
        <v>72</v>
      </c>
      <c r="C16" s="126" t="s">
        <v>73</v>
      </c>
      <c r="D16" s="126">
        <v>34</v>
      </c>
      <c r="E16" s="126"/>
      <c r="F16" s="129"/>
    </row>
    <row r="17" spans="1:6" ht="15.75" customHeight="1">
      <c r="A17" s="126">
        <v>21</v>
      </c>
      <c r="B17" s="126" t="s">
        <v>74</v>
      </c>
      <c r="C17" s="126" t="s">
        <v>73</v>
      </c>
      <c r="D17" s="126">
        <v>78</v>
      </c>
      <c r="E17" s="126"/>
      <c r="F17" s="129"/>
    </row>
    <row r="18" spans="1:6" ht="15.75" customHeight="1">
      <c r="A18" s="126">
        <v>8</v>
      </c>
      <c r="B18" s="126" t="s">
        <v>75</v>
      </c>
      <c r="C18" s="126" t="s">
        <v>76</v>
      </c>
      <c r="D18" s="126">
        <v>87</v>
      </c>
      <c r="E18" s="126"/>
      <c r="F18" s="129"/>
    </row>
    <row r="19" spans="1:6" ht="15.75" customHeight="1">
      <c r="A19" s="126">
        <v>12</v>
      </c>
      <c r="B19" s="126" t="s">
        <v>77</v>
      </c>
      <c r="C19" s="126" t="s">
        <v>66</v>
      </c>
      <c r="D19" s="126">
        <v>87</v>
      </c>
      <c r="E19" s="126"/>
      <c r="F19" s="129"/>
    </row>
    <row r="20" spans="1:6" ht="15.75" customHeight="1">
      <c r="A20" s="126">
        <v>23</v>
      </c>
      <c r="B20" s="126" t="s">
        <v>78</v>
      </c>
      <c r="C20" s="126" t="s">
        <v>58</v>
      </c>
      <c r="D20" s="126">
        <v>34</v>
      </c>
      <c r="E20" s="126"/>
      <c r="F20" s="129"/>
    </row>
    <row r="21" spans="1:6" ht="15.75" customHeight="1">
      <c r="A21" s="126">
        <v>10</v>
      </c>
      <c r="B21" s="126" t="s">
        <v>79</v>
      </c>
      <c r="C21" s="126" t="s">
        <v>66</v>
      </c>
      <c r="D21" s="126">
        <v>89</v>
      </c>
      <c r="E21" s="126"/>
      <c r="F21" s="129"/>
    </row>
    <row r="22" spans="1:6" ht="15.75" customHeight="1">
      <c r="A22" s="126">
        <v>20</v>
      </c>
      <c r="B22" s="126" t="s">
        <v>80</v>
      </c>
      <c r="C22" s="126" t="s">
        <v>76</v>
      </c>
      <c r="D22" s="126">
        <v>89</v>
      </c>
      <c r="E22" s="126"/>
      <c r="F22" s="129"/>
    </row>
    <row r="23" spans="1:6" ht="15.75" customHeight="1">
      <c r="A23" s="126">
        <v>2</v>
      </c>
      <c r="B23" s="129" t="s">
        <v>81</v>
      </c>
      <c r="C23" s="129" t="s">
        <v>58</v>
      </c>
      <c r="D23" s="129">
        <v>90</v>
      </c>
      <c r="E23" s="126"/>
      <c r="F23" s="129"/>
    </row>
    <row r="24" spans="1:6" ht="15.75" customHeight="1">
      <c r="A24" s="126">
        <v>4</v>
      </c>
      <c r="B24" s="126" t="s">
        <v>82</v>
      </c>
      <c r="C24" s="126" t="s">
        <v>83</v>
      </c>
      <c r="D24" s="126">
        <v>55</v>
      </c>
      <c r="E24" s="126"/>
      <c r="F24" s="129"/>
    </row>
    <row r="25" spans="1:6" ht="15.75" customHeight="1">
      <c r="A25" s="126">
        <v>16</v>
      </c>
      <c r="B25" s="130" t="s">
        <v>84</v>
      </c>
      <c r="C25" s="126" t="s">
        <v>83</v>
      </c>
      <c r="D25" s="126">
        <v>98</v>
      </c>
      <c r="E25" s="126"/>
      <c r="F25" s="129"/>
    </row>
    <row r="26" spans="1:6" ht="15.75" customHeight="1">
      <c r="A26" s="126">
        <v>19</v>
      </c>
      <c r="B26" s="126" t="s">
        <v>85</v>
      </c>
      <c r="C26" s="126" t="s">
        <v>71</v>
      </c>
      <c r="D26" s="126">
        <v>99</v>
      </c>
      <c r="E26" s="126"/>
      <c r="F26" s="129"/>
    </row>
    <row r="29" spans="1:6" ht="15.75" customHeight="1">
      <c r="A29" s="131" t="s">
        <v>86</v>
      </c>
      <c r="B29" s="132" t="s">
        <v>12</v>
      </c>
    </row>
    <row r="30" spans="1:6" ht="15.75" customHeight="1">
      <c r="A30" s="130">
        <v>70</v>
      </c>
      <c r="B30" s="130" t="s">
        <v>87</v>
      </c>
    </row>
    <row r="31" spans="1:6" ht="15.75" customHeight="1">
      <c r="A31" s="130">
        <v>60</v>
      </c>
      <c r="B31" s="130" t="s">
        <v>88</v>
      </c>
    </row>
    <row r="32" spans="1:6" ht="15.75" customHeight="1">
      <c r="A32" s="130">
        <v>50</v>
      </c>
      <c r="B32" s="130" t="s">
        <v>89</v>
      </c>
    </row>
    <row r="33" spans="1:2" ht="15.75" customHeight="1">
      <c r="A33" s="130"/>
      <c r="B33" s="130" t="s">
        <v>90</v>
      </c>
    </row>
  </sheetData>
  <autoFilter ref="A1:F26" xr:uid="{00000000-0009-0000-0000-000002000000}">
    <sortState xmlns:xlrd2="http://schemas.microsoft.com/office/spreadsheetml/2017/richdata2" ref="A2:F26">
      <sortCondition ref="D1:D26"/>
    </sortState>
  </autoFilter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A97-C89B-42B9-9C83-3BA6B4E513FA}">
  <sheetPr codeName="Sheet6">
    <tabColor rgb="FF7030A0"/>
  </sheetPr>
  <dimension ref="A1:O170"/>
  <sheetViews>
    <sheetView zoomScale="85" zoomScaleNormal="85" workbookViewId="0">
      <pane ySplit="1" topLeftCell="A128" activePane="bottomLeft" state="frozen"/>
      <selection pane="bottomLeft" activeCell="K160" sqref="K160"/>
      <selection activeCell="B1" sqref="B1:B1048576"/>
    </sheetView>
  </sheetViews>
  <sheetFormatPr defaultColWidth="11.7109375" defaultRowHeight="14.45"/>
  <cols>
    <col min="1" max="2" width="11.7109375" style="1"/>
    <col min="3" max="3" width="9.7109375" style="1" customWidth="1"/>
    <col min="4" max="7" width="11.7109375" style="1"/>
    <col min="8" max="8" width="12.85546875" style="1" bestFit="1" customWidth="1"/>
    <col min="9" max="16384" width="11.7109375" style="1"/>
  </cols>
  <sheetData>
    <row r="1" spans="1:15" s="26" customFormat="1" ht="15.6">
      <c r="A1" s="92" t="s">
        <v>91</v>
      </c>
      <c r="B1" s="93" t="s">
        <v>92</v>
      </c>
      <c r="C1" s="93" t="s">
        <v>93</v>
      </c>
      <c r="D1" s="93" t="s">
        <v>94</v>
      </c>
      <c r="E1" s="93" t="s">
        <v>95</v>
      </c>
      <c r="F1" s="93" t="s">
        <v>96</v>
      </c>
      <c r="G1" s="93" t="s">
        <v>97</v>
      </c>
      <c r="H1" s="93" t="s">
        <v>98</v>
      </c>
      <c r="I1" s="94" t="s">
        <v>99</v>
      </c>
      <c r="J1" s="25">
        <v>1</v>
      </c>
      <c r="K1" s="25">
        <v>2</v>
      </c>
      <c r="L1" s="25">
        <v>3</v>
      </c>
      <c r="M1" s="25">
        <v>4</v>
      </c>
      <c r="N1" s="25">
        <v>5</v>
      </c>
      <c r="O1" s="25">
        <v>6</v>
      </c>
    </row>
    <row r="2" spans="1:15">
      <c r="A2" s="146" t="s">
        <v>100</v>
      </c>
      <c r="B2" s="1" t="s">
        <v>101</v>
      </c>
      <c r="C2" s="1" t="s">
        <v>102</v>
      </c>
      <c r="D2" s="1" t="s">
        <v>101</v>
      </c>
      <c r="E2" s="1" t="s">
        <v>103</v>
      </c>
      <c r="F2" s="1" t="s">
        <v>104</v>
      </c>
      <c r="G2" s="1" t="s">
        <v>105</v>
      </c>
      <c r="H2" s="28">
        <v>6943.91</v>
      </c>
      <c r="I2" s="29">
        <f ca="1">TODAY()+90</f>
        <v>46232</v>
      </c>
    </row>
    <row r="3" spans="1:15">
      <c r="A3" s="146" t="s">
        <v>106</v>
      </c>
      <c r="B3" s="1" t="s">
        <v>107</v>
      </c>
      <c r="C3" s="1" t="s">
        <v>108</v>
      </c>
      <c r="D3" s="1" t="s">
        <v>101</v>
      </c>
      <c r="E3" s="1" t="s">
        <v>103</v>
      </c>
      <c r="F3" s="1" t="s">
        <v>104</v>
      </c>
      <c r="G3" s="1" t="s">
        <v>105</v>
      </c>
      <c r="H3" s="28">
        <v>10017.92</v>
      </c>
      <c r="I3" s="29">
        <v>45788</v>
      </c>
    </row>
    <row r="4" spans="1:15">
      <c r="A4" s="146" t="s">
        <v>109</v>
      </c>
      <c r="B4" s="1" t="s">
        <v>101</v>
      </c>
      <c r="C4" s="1" t="s">
        <v>108</v>
      </c>
      <c r="D4" s="1" t="s">
        <v>101</v>
      </c>
      <c r="E4" s="1" t="s">
        <v>105</v>
      </c>
      <c r="F4" s="1" t="s">
        <v>105</v>
      </c>
      <c r="G4" s="1" t="s">
        <v>105</v>
      </c>
      <c r="H4" s="28">
        <v>10500</v>
      </c>
      <c r="I4" s="29">
        <v>45792</v>
      </c>
    </row>
    <row r="5" spans="1:15">
      <c r="A5" s="146" t="s">
        <v>109</v>
      </c>
      <c r="B5" s="1" t="s">
        <v>101</v>
      </c>
      <c r="C5" s="1" t="s">
        <v>102</v>
      </c>
      <c r="D5" s="1" t="s">
        <v>101</v>
      </c>
      <c r="E5" s="1" t="s">
        <v>105</v>
      </c>
      <c r="F5" s="1" t="s">
        <v>103</v>
      </c>
      <c r="G5" s="1" t="s">
        <v>105</v>
      </c>
      <c r="H5" s="28">
        <v>13133</v>
      </c>
      <c r="I5" s="29">
        <v>45734</v>
      </c>
    </row>
    <row r="6" spans="1:15">
      <c r="A6" s="146" t="s">
        <v>110</v>
      </c>
      <c r="B6" s="1" t="s">
        <v>111</v>
      </c>
      <c r="C6" s="1" t="s">
        <v>108</v>
      </c>
      <c r="D6" s="1" t="s">
        <v>101</v>
      </c>
      <c r="E6" s="1" t="s">
        <v>105</v>
      </c>
      <c r="F6" s="1" t="s">
        <v>103</v>
      </c>
      <c r="G6" s="1" t="s">
        <v>105</v>
      </c>
      <c r="H6" s="28">
        <v>53293</v>
      </c>
      <c r="I6" s="29">
        <v>45755</v>
      </c>
    </row>
    <row r="7" spans="1:15">
      <c r="A7" s="146" t="s">
        <v>106</v>
      </c>
      <c r="B7" s="1" t="s">
        <v>107</v>
      </c>
      <c r="C7" s="1" t="s">
        <v>108</v>
      </c>
      <c r="D7" s="1" t="s">
        <v>101</v>
      </c>
      <c r="E7" s="1" t="s">
        <v>103</v>
      </c>
      <c r="F7" s="1" t="s">
        <v>104</v>
      </c>
      <c r="G7" s="1" t="s">
        <v>105</v>
      </c>
      <c r="H7" s="28">
        <v>55564</v>
      </c>
      <c r="I7" s="29">
        <v>45785</v>
      </c>
    </row>
    <row r="8" spans="1:15">
      <c r="A8" s="146" t="s">
        <v>109</v>
      </c>
      <c r="B8" s="1" t="s">
        <v>107</v>
      </c>
      <c r="C8" s="1" t="s">
        <v>112</v>
      </c>
      <c r="D8" s="152" t="s">
        <v>113</v>
      </c>
      <c r="E8" s="1" t="s">
        <v>105</v>
      </c>
      <c r="F8" s="1" t="s">
        <v>105</v>
      </c>
      <c r="G8" s="1" t="s">
        <v>105</v>
      </c>
      <c r="H8" s="28">
        <v>3120.2</v>
      </c>
      <c r="I8" s="29">
        <v>45833</v>
      </c>
    </row>
    <row r="9" spans="1:15">
      <c r="A9" s="146" t="s">
        <v>109</v>
      </c>
      <c r="B9" s="1" t="s">
        <v>107</v>
      </c>
      <c r="C9" s="1" t="s">
        <v>112</v>
      </c>
      <c r="D9" s="152" t="s">
        <v>113</v>
      </c>
      <c r="E9" s="1" t="s">
        <v>103</v>
      </c>
      <c r="F9" s="1" t="s">
        <v>105</v>
      </c>
      <c r="G9" s="1" t="s">
        <v>105</v>
      </c>
      <c r="H9" s="28">
        <v>10071.200000000001</v>
      </c>
      <c r="I9" s="29">
        <v>45772</v>
      </c>
    </row>
    <row r="10" spans="1:15">
      <c r="A10" s="146" t="s">
        <v>109</v>
      </c>
      <c r="B10" s="1" t="s">
        <v>107</v>
      </c>
      <c r="C10" s="1" t="s">
        <v>112</v>
      </c>
      <c r="D10" s="152" t="s">
        <v>113</v>
      </c>
      <c r="E10" s="1" t="s">
        <v>105</v>
      </c>
      <c r="F10" s="1" t="s">
        <v>105</v>
      </c>
      <c r="G10" s="1" t="s">
        <v>105</v>
      </c>
      <c r="H10" s="28">
        <v>10075</v>
      </c>
      <c r="I10" s="29">
        <v>45716</v>
      </c>
    </row>
    <row r="11" spans="1:15">
      <c r="A11" s="146" t="s">
        <v>109</v>
      </c>
      <c r="B11" s="1" t="s">
        <v>107</v>
      </c>
      <c r="C11" s="1" t="s">
        <v>114</v>
      </c>
      <c r="D11" s="152" t="s">
        <v>115</v>
      </c>
      <c r="E11" s="1" t="s">
        <v>105</v>
      </c>
      <c r="F11" s="1" t="s">
        <v>105</v>
      </c>
      <c r="G11" s="1" t="s">
        <v>105</v>
      </c>
      <c r="H11" s="28">
        <v>9750</v>
      </c>
      <c r="I11" s="29">
        <v>45789</v>
      </c>
    </row>
    <row r="12" spans="1:15">
      <c r="A12" s="146" t="s">
        <v>100</v>
      </c>
      <c r="B12" s="1" t="s">
        <v>116</v>
      </c>
      <c r="C12" s="1" t="s">
        <v>114</v>
      </c>
      <c r="D12" s="152" t="s">
        <v>115</v>
      </c>
      <c r="E12" s="1" t="s">
        <v>103</v>
      </c>
      <c r="F12" s="1" t="s">
        <v>104</v>
      </c>
      <c r="G12" s="1" t="s">
        <v>105</v>
      </c>
      <c r="H12" s="28">
        <v>10100</v>
      </c>
      <c r="I12" s="29">
        <v>45764</v>
      </c>
    </row>
    <row r="13" spans="1:15">
      <c r="A13" s="146" t="s">
        <v>100</v>
      </c>
      <c r="B13" s="1" t="s">
        <v>101</v>
      </c>
      <c r="C13" s="1" t="s">
        <v>114</v>
      </c>
      <c r="D13" s="152" t="s">
        <v>115</v>
      </c>
      <c r="E13" s="1" t="s">
        <v>103</v>
      </c>
      <c r="F13" s="1" t="s">
        <v>104</v>
      </c>
      <c r="G13" s="1" t="s">
        <v>105</v>
      </c>
      <c r="H13" s="28">
        <v>10233.67</v>
      </c>
      <c r="I13" s="29">
        <v>45757</v>
      </c>
    </row>
    <row r="14" spans="1:15">
      <c r="A14" s="146" t="s">
        <v>100</v>
      </c>
      <c r="B14" s="1" t="s">
        <v>116</v>
      </c>
      <c r="C14" s="1" t="s">
        <v>114</v>
      </c>
      <c r="D14" s="152" t="s">
        <v>115</v>
      </c>
      <c r="E14" s="1" t="s">
        <v>103</v>
      </c>
      <c r="F14" s="1" t="s">
        <v>104</v>
      </c>
      <c r="G14" s="1" t="s">
        <v>105</v>
      </c>
      <c r="H14" s="28">
        <v>12384</v>
      </c>
      <c r="I14" s="29">
        <v>45726</v>
      </c>
    </row>
    <row r="15" spans="1:15">
      <c r="A15" s="146" t="s">
        <v>109</v>
      </c>
      <c r="B15" s="1" t="s">
        <v>101</v>
      </c>
      <c r="C15" s="1" t="s">
        <v>114</v>
      </c>
      <c r="D15" s="152" t="s">
        <v>115</v>
      </c>
      <c r="E15" s="1" t="s">
        <v>105</v>
      </c>
      <c r="F15" s="1" t="s">
        <v>103</v>
      </c>
      <c r="G15" s="1" t="s">
        <v>105</v>
      </c>
      <c r="H15" s="28">
        <v>5846.26</v>
      </c>
      <c r="I15" s="29">
        <v>45761</v>
      </c>
    </row>
    <row r="16" spans="1:15">
      <c r="A16" s="146" t="s">
        <v>109</v>
      </c>
      <c r="B16" s="1" t="s">
        <v>116</v>
      </c>
      <c r="C16" s="1" t="s">
        <v>114</v>
      </c>
      <c r="D16" s="152" t="s">
        <v>115</v>
      </c>
      <c r="E16" s="1" t="s">
        <v>105</v>
      </c>
      <c r="F16" s="1" t="s">
        <v>105</v>
      </c>
      <c r="G16" s="1" t="s">
        <v>105</v>
      </c>
      <c r="H16" s="28">
        <v>6500</v>
      </c>
      <c r="I16" s="29">
        <v>45746</v>
      </c>
    </row>
    <row r="17" spans="1:9">
      <c r="A17" s="146" t="s">
        <v>109</v>
      </c>
      <c r="B17" s="1" t="s">
        <v>101</v>
      </c>
      <c r="C17" s="1" t="s">
        <v>114</v>
      </c>
      <c r="D17" s="152" t="s">
        <v>115</v>
      </c>
      <c r="E17" s="1" t="s">
        <v>105</v>
      </c>
      <c r="F17" s="1" t="s">
        <v>103</v>
      </c>
      <c r="G17" s="1" t="s">
        <v>105</v>
      </c>
      <c r="H17" s="28">
        <v>11195.5</v>
      </c>
      <c r="I17" s="29">
        <v>45752</v>
      </c>
    </row>
    <row r="18" spans="1:9">
      <c r="A18" s="146" t="s">
        <v>109</v>
      </c>
      <c r="B18" s="1" t="s">
        <v>101</v>
      </c>
      <c r="C18" s="1" t="s">
        <v>114</v>
      </c>
      <c r="D18" s="152" t="s">
        <v>115</v>
      </c>
      <c r="E18" s="1" t="s">
        <v>105</v>
      </c>
      <c r="F18" s="1" t="s">
        <v>103</v>
      </c>
      <c r="G18" s="1" t="s">
        <v>105</v>
      </c>
      <c r="H18" s="28">
        <v>14069.5</v>
      </c>
      <c r="I18" s="29">
        <v>45832</v>
      </c>
    </row>
    <row r="19" spans="1:9">
      <c r="A19" s="146" t="s">
        <v>109</v>
      </c>
      <c r="B19" s="1" t="s">
        <v>116</v>
      </c>
      <c r="C19" s="1" t="s">
        <v>114</v>
      </c>
      <c r="D19" s="152" t="s">
        <v>115</v>
      </c>
      <c r="E19" s="1" t="s">
        <v>105</v>
      </c>
      <c r="F19" s="1" t="s">
        <v>105</v>
      </c>
      <c r="G19" s="1" t="s">
        <v>105</v>
      </c>
      <c r="H19" s="28">
        <v>43730.53</v>
      </c>
      <c r="I19" s="29">
        <v>45815</v>
      </c>
    </row>
    <row r="20" spans="1:9">
      <c r="A20" s="146" t="s">
        <v>109</v>
      </c>
      <c r="B20" s="1" t="s">
        <v>107</v>
      </c>
      <c r="C20" s="1" t="s">
        <v>114</v>
      </c>
      <c r="D20" s="152" t="s">
        <v>115</v>
      </c>
      <c r="E20" s="1" t="s">
        <v>105</v>
      </c>
      <c r="F20" s="1" t="s">
        <v>105</v>
      </c>
      <c r="G20" s="1" t="s">
        <v>105</v>
      </c>
      <c r="H20" s="28">
        <v>65382</v>
      </c>
      <c r="I20" s="29">
        <v>45803</v>
      </c>
    </row>
    <row r="21" spans="1:9">
      <c r="A21" s="146" t="s">
        <v>100</v>
      </c>
      <c r="B21" s="1" t="s">
        <v>101</v>
      </c>
      <c r="C21" s="1" t="s">
        <v>102</v>
      </c>
      <c r="D21" s="152" t="s">
        <v>117</v>
      </c>
      <c r="E21" s="1" t="s">
        <v>103</v>
      </c>
      <c r="F21" s="1" t="s">
        <v>104</v>
      </c>
      <c r="G21" s="1" t="s">
        <v>103</v>
      </c>
      <c r="H21" s="28">
        <v>9529.5</v>
      </c>
      <c r="I21" s="29">
        <v>45786</v>
      </c>
    </row>
    <row r="22" spans="1:9">
      <c r="A22" s="146" t="s">
        <v>109</v>
      </c>
      <c r="B22" s="1" t="s">
        <v>116</v>
      </c>
      <c r="C22" s="1" t="s">
        <v>102</v>
      </c>
      <c r="D22" s="152" t="s">
        <v>117</v>
      </c>
      <c r="E22" s="1" t="s">
        <v>105</v>
      </c>
      <c r="F22" s="1" t="s">
        <v>105</v>
      </c>
      <c r="G22" s="1" t="s">
        <v>105</v>
      </c>
      <c r="H22" s="28">
        <v>10700</v>
      </c>
      <c r="I22" s="29">
        <v>45756</v>
      </c>
    </row>
    <row r="23" spans="1:9">
      <c r="A23" s="146" t="s">
        <v>100</v>
      </c>
      <c r="B23" s="1" t="s">
        <v>101</v>
      </c>
      <c r="C23" s="1" t="s">
        <v>108</v>
      </c>
      <c r="D23" s="152" t="s">
        <v>117</v>
      </c>
      <c r="E23" s="1" t="s">
        <v>103</v>
      </c>
      <c r="F23" s="1" t="s">
        <v>104</v>
      </c>
      <c r="G23" s="1" t="s">
        <v>103</v>
      </c>
      <c r="H23" s="28">
        <v>11299</v>
      </c>
      <c r="I23" s="29">
        <v>45828</v>
      </c>
    </row>
    <row r="24" spans="1:9">
      <c r="A24" s="146" t="s">
        <v>109</v>
      </c>
      <c r="B24" s="1" t="s">
        <v>107</v>
      </c>
      <c r="C24" s="1" t="s">
        <v>108</v>
      </c>
      <c r="D24" s="152" t="s">
        <v>117</v>
      </c>
      <c r="E24" s="1" t="s">
        <v>105</v>
      </c>
      <c r="F24" s="1" t="s">
        <v>105</v>
      </c>
      <c r="G24" s="1" t="s">
        <v>105</v>
      </c>
      <c r="H24" s="28">
        <v>11400</v>
      </c>
      <c r="I24" s="29">
        <v>45743</v>
      </c>
    </row>
    <row r="25" spans="1:9">
      <c r="A25" s="146" t="s">
        <v>109</v>
      </c>
      <c r="B25" s="1" t="s">
        <v>101</v>
      </c>
      <c r="C25" s="1" t="s">
        <v>102</v>
      </c>
      <c r="D25" s="152" t="s">
        <v>117</v>
      </c>
      <c r="E25" s="1" t="s">
        <v>105</v>
      </c>
      <c r="F25" s="1" t="s">
        <v>103</v>
      </c>
      <c r="G25" s="1" t="s">
        <v>105</v>
      </c>
      <c r="H25" s="28">
        <v>11500</v>
      </c>
      <c r="I25" s="29">
        <v>45785</v>
      </c>
    </row>
    <row r="26" spans="1:9">
      <c r="A26" s="146" t="s">
        <v>109</v>
      </c>
      <c r="B26" s="1" t="s">
        <v>107</v>
      </c>
      <c r="C26" s="1" t="s">
        <v>108</v>
      </c>
      <c r="D26" s="152" t="s">
        <v>117</v>
      </c>
      <c r="E26" s="1" t="s">
        <v>105</v>
      </c>
      <c r="F26" s="1" t="s">
        <v>105</v>
      </c>
      <c r="G26" s="1" t="s">
        <v>105</v>
      </c>
      <c r="H26" s="28">
        <v>11792</v>
      </c>
      <c r="I26" s="29">
        <f ca="1">TODAY()+29</f>
        <v>46171</v>
      </c>
    </row>
    <row r="27" spans="1:9">
      <c r="A27" s="146" t="s">
        <v>109</v>
      </c>
      <c r="B27" s="1" t="s">
        <v>101</v>
      </c>
      <c r="C27" s="1" t="s">
        <v>108</v>
      </c>
      <c r="D27" s="152" t="s">
        <v>117</v>
      </c>
      <c r="E27" s="1" t="s">
        <v>105</v>
      </c>
      <c r="F27" s="1" t="s">
        <v>105</v>
      </c>
      <c r="G27" s="1" t="s">
        <v>105</v>
      </c>
      <c r="H27" s="28">
        <v>49833</v>
      </c>
      <c r="I27" s="29">
        <v>45795</v>
      </c>
    </row>
    <row r="28" spans="1:9">
      <c r="A28" s="146" t="s">
        <v>109</v>
      </c>
      <c r="B28" s="1" t="s">
        <v>101</v>
      </c>
      <c r="C28" s="1" t="s">
        <v>108</v>
      </c>
      <c r="D28" s="1" t="s">
        <v>118</v>
      </c>
      <c r="E28" s="1" t="s">
        <v>105</v>
      </c>
      <c r="F28" s="1" t="s">
        <v>105</v>
      </c>
      <c r="G28" s="1" t="s">
        <v>105</v>
      </c>
      <c r="H28" s="28">
        <v>12283.5</v>
      </c>
      <c r="I28" s="29">
        <v>45758</v>
      </c>
    </row>
    <row r="29" spans="1:9">
      <c r="A29" s="146" t="s">
        <v>100</v>
      </c>
      <c r="B29" s="1" t="s">
        <v>101</v>
      </c>
      <c r="C29" s="1" t="s">
        <v>112</v>
      </c>
      <c r="D29" s="1" t="s">
        <v>118</v>
      </c>
      <c r="E29" s="1" t="s">
        <v>103</v>
      </c>
      <c r="F29" s="1" t="s">
        <v>104</v>
      </c>
      <c r="G29" s="1" t="s">
        <v>103</v>
      </c>
      <c r="H29" s="28">
        <v>12321.22</v>
      </c>
      <c r="I29" s="29">
        <v>45772</v>
      </c>
    </row>
    <row r="30" spans="1:9">
      <c r="A30" s="146" t="s">
        <v>106</v>
      </c>
      <c r="B30" s="1" t="s">
        <v>101</v>
      </c>
      <c r="C30" s="1" t="s">
        <v>108</v>
      </c>
      <c r="D30" s="1" t="s">
        <v>118</v>
      </c>
      <c r="E30" s="1" t="s">
        <v>103</v>
      </c>
      <c r="F30" s="1" t="s">
        <v>104</v>
      </c>
      <c r="G30" s="1" t="s">
        <v>105</v>
      </c>
      <c r="H30" s="28">
        <v>13350</v>
      </c>
      <c r="I30" s="29">
        <v>45786</v>
      </c>
    </row>
    <row r="31" spans="1:9">
      <c r="A31" s="146" t="s">
        <v>109</v>
      </c>
      <c r="B31" s="1" t="s">
        <v>101</v>
      </c>
      <c r="C31" s="1" t="s">
        <v>108</v>
      </c>
      <c r="D31" s="1" t="s">
        <v>118</v>
      </c>
      <c r="E31" s="1" t="s">
        <v>105</v>
      </c>
      <c r="F31" s="1" t="s">
        <v>105</v>
      </c>
      <c r="G31" s="1" t="s">
        <v>105</v>
      </c>
      <c r="H31" s="28">
        <v>13983</v>
      </c>
      <c r="I31" s="29">
        <v>45768</v>
      </c>
    </row>
    <row r="32" spans="1:9">
      <c r="A32" s="146" t="s">
        <v>100</v>
      </c>
      <c r="B32" s="1" t="s">
        <v>107</v>
      </c>
      <c r="C32" s="1" t="s">
        <v>112</v>
      </c>
      <c r="D32" s="1" t="s">
        <v>118</v>
      </c>
      <c r="E32" s="1" t="s">
        <v>103</v>
      </c>
      <c r="F32" s="1" t="s">
        <v>104</v>
      </c>
      <c r="G32" s="1" t="s">
        <v>103</v>
      </c>
      <c r="H32" s="28">
        <v>18308</v>
      </c>
      <c r="I32" s="29">
        <f ca="1">TODAY()+5</f>
        <v>46147</v>
      </c>
    </row>
    <row r="33" spans="1:9">
      <c r="A33" s="146" t="s">
        <v>109</v>
      </c>
      <c r="B33" s="1" t="s">
        <v>116</v>
      </c>
      <c r="C33" s="1" t="s">
        <v>102</v>
      </c>
      <c r="D33" s="1" t="s">
        <v>118</v>
      </c>
      <c r="E33" s="1" t="s">
        <v>105</v>
      </c>
      <c r="F33" s="1" t="s">
        <v>103</v>
      </c>
      <c r="G33" s="1" t="s">
        <v>105</v>
      </c>
      <c r="H33" s="28">
        <v>25492.5</v>
      </c>
      <c r="I33" s="29">
        <v>45784</v>
      </c>
    </row>
    <row r="34" spans="1:9">
      <c r="A34" s="146" t="s">
        <v>109</v>
      </c>
      <c r="B34" s="1" t="s">
        <v>101</v>
      </c>
      <c r="C34" s="1" t="s">
        <v>108</v>
      </c>
      <c r="D34" s="1" t="s">
        <v>118</v>
      </c>
      <c r="E34" s="1" t="s">
        <v>105</v>
      </c>
      <c r="F34" s="1" t="s">
        <v>105</v>
      </c>
      <c r="G34" s="1" t="s">
        <v>105</v>
      </c>
      <c r="H34" s="28">
        <v>49691</v>
      </c>
      <c r="I34" s="29">
        <v>45764</v>
      </c>
    </row>
    <row r="35" spans="1:9">
      <c r="A35" s="146" t="s">
        <v>109</v>
      </c>
      <c r="B35" s="1" t="s">
        <v>111</v>
      </c>
      <c r="C35" s="1" t="s">
        <v>108</v>
      </c>
      <c r="D35" s="1" t="s">
        <v>118</v>
      </c>
      <c r="E35" s="1" t="s">
        <v>105</v>
      </c>
      <c r="F35" s="1" t="s">
        <v>103</v>
      </c>
      <c r="G35" s="1" t="s">
        <v>105</v>
      </c>
      <c r="H35" s="28">
        <v>49980.5</v>
      </c>
      <c r="I35" s="29">
        <v>45763</v>
      </c>
    </row>
    <row r="36" spans="1:9">
      <c r="A36" s="146" t="s">
        <v>106</v>
      </c>
      <c r="B36" s="1" t="s">
        <v>119</v>
      </c>
      <c r="C36" s="1" t="s">
        <v>120</v>
      </c>
      <c r="D36" s="1" t="s">
        <v>121</v>
      </c>
      <c r="E36" s="1" t="s">
        <v>103</v>
      </c>
      <c r="F36" s="1" t="s">
        <v>104</v>
      </c>
      <c r="G36" s="1" t="s">
        <v>105</v>
      </c>
      <c r="H36" s="28">
        <v>10350</v>
      </c>
      <c r="I36" s="29">
        <f ca="1">TODAY()+55</f>
        <v>46197</v>
      </c>
    </row>
    <row r="37" spans="1:9">
      <c r="A37" s="146" t="s">
        <v>106</v>
      </c>
      <c r="B37" s="1" t="s">
        <v>119</v>
      </c>
      <c r="C37" s="1" t="s">
        <v>120</v>
      </c>
      <c r="D37" s="1" t="s">
        <v>121</v>
      </c>
      <c r="E37" s="1" t="s">
        <v>103</v>
      </c>
      <c r="F37" s="1" t="s">
        <v>104</v>
      </c>
      <c r="G37" s="1" t="s">
        <v>105</v>
      </c>
      <c r="H37" s="28">
        <v>10350</v>
      </c>
      <c r="I37" s="29">
        <v>45752</v>
      </c>
    </row>
    <row r="38" spans="1:9">
      <c r="A38" s="146" t="s">
        <v>109</v>
      </c>
      <c r="B38" s="1" t="s">
        <v>119</v>
      </c>
      <c r="C38" s="1" t="s">
        <v>120</v>
      </c>
      <c r="D38" s="1" t="s">
        <v>121</v>
      </c>
      <c r="E38" s="1" t="s">
        <v>103</v>
      </c>
      <c r="F38" s="1" t="s">
        <v>104</v>
      </c>
      <c r="G38" s="1" t="s">
        <v>105</v>
      </c>
      <c r="H38" s="28">
        <v>12144.5</v>
      </c>
      <c r="I38" s="29">
        <v>45798</v>
      </c>
    </row>
    <row r="39" spans="1:9">
      <c r="A39" s="146" t="s">
        <v>109</v>
      </c>
      <c r="B39" s="1" t="s">
        <v>119</v>
      </c>
      <c r="C39" s="1" t="s">
        <v>120</v>
      </c>
      <c r="D39" s="1" t="s">
        <v>121</v>
      </c>
      <c r="E39" s="1" t="s">
        <v>103</v>
      </c>
      <c r="F39" s="1" t="s">
        <v>105</v>
      </c>
      <c r="G39" s="1" t="s">
        <v>105</v>
      </c>
      <c r="H39" s="28">
        <v>13426.5</v>
      </c>
      <c r="I39" s="29">
        <v>45820</v>
      </c>
    </row>
    <row r="40" spans="1:9">
      <c r="A40" s="146" t="s">
        <v>109</v>
      </c>
      <c r="B40" s="1" t="s">
        <v>119</v>
      </c>
      <c r="C40" s="1" t="s">
        <v>120</v>
      </c>
      <c r="D40" s="1" t="s">
        <v>121</v>
      </c>
      <c r="E40" s="1" t="s">
        <v>103</v>
      </c>
      <c r="F40" s="1" t="s">
        <v>105</v>
      </c>
      <c r="G40" s="1" t="s">
        <v>105</v>
      </c>
      <c r="H40" s="28">
        <v>13972</v>
      </c>
      <c r="I40" s="29">
        <v>45749</v>
      </c>
    </row>
    <row r="41" spans="1:9">
      <c r="A41" s="146" t="s">
        <v>109</v>
      </c>
      <c r="B41" s="1" t="s">
        <v>107</v>
      </c>
      <c r="C41" s="1" t="s">
        <v>112</v>
      </c>
      <c r="D41" s="1" t="s">
        <v>122</v>
      </c>
      <c r="E41" s="1" t="s">
        <v>103</v>
      </c>
      <c r="F41" s="1" t="s">
        <v>105</v>
      </c>
      <c r="G41" s="1" t="s">
        <v>105</v>
      </c>
      <c r="H41" s="28">
        <v>8516.2800000000007</v>
      </c>
      <c r="I41" s="29">
        <v>45747</v>
      </c>
    </row>
    <row r="42" spans="1:9">
      <c r="A42" s="146" t="s">
        <v>109</v>
      </c>
      <c r="B42" s="1" t="s">
        <v>107</v>
      </c>
      <c r="C42" s="1" t="s">
        <v>112</v>
      </c>
      <c r="D42" s="1" t="s">
        <v>122</v>
      </c>
      <c r="E42" s="1" t="s">
        <v>105</v>
      </c>
      <c r="F42" s="1" t="s">
        <v>105</v>
      </c>
      <c r="G42" s="1" t="s">
        <v>105</v>
      </c>
      <c r="H42" s="28">
        <v>9887</v>
      </c>
      <c r="I42" s="29">
        <v>45832</v>
      </c>
    </row>
    <row r="43" spans="1:9">
      <c r="A43" s="146" t="s">
        <v>106</v>
      </c>
      <c r="B43" s="1" t="s">
        <v>107</v>
      </c>
      <c r="C43" s="1" t="s">
        <v>112</v>
      </c>
      <c r="D43" s="1" t="s">
        <v>122</v>
      </c>
      <c r="E43" s="1" t="s">
        <v>103</v>
      </c>
      <c r="F43" s="1" t="s">
        <v>104</v>
      </c>
      <c r="G43" s="1" t="s">
        <v>105</v>
      </c>
      <c r="H43" s="28">
        <v>10072.459999999999</v>
      </c>
      <c r="I43" s="29">
        <v>45720</v>
      </c>
    </row>
    <row r="44" spans="1:9">
      <c r="A44" s="146" t="s">
        <v>109</v>
      </c>
      <c r="B44" s="1" t="s">
        <v>107</v>
      </c>
      <c r="C44" s="1" t="s">
        <v>112</v>
      </c>
      <c r="D44" s="1" t="s">
        <v>122</v>
      </c>
      <c r="E44" s="1" t="s">
        <v>105</v>
      </c>
      <c r="F44" s="1" t="s">
        <v>105</v>
      </c>
      <c r="G44" s="1" t="s">
        <v>105</v>
      </c>
      <c r="H44" s="28">
        <v>11275</v>
      </c>
      <c r="I44" s="29">
        <v>45766</v>
      </c>
    </row>
    <row r="45" spans="1:9">
      <c r="A45" s="146" t="s">
        <v>109</v>
      </c>
      <c r="B45" s="1" t="s">
        <v>119</v>
      </c>
      <c r="C45" s="1" t="s">
        <v>123</v>
      </c>
      <c r="D45" s="1" t="s">
        <v>124</v>
      </c>
      <c r="E45" s="1" t="s">
        <v>103</v>
      </c>
      <c r="F45" s="1" t="s">
        <v>104</v>
      </c>
      <c r="G45" s="1" t="s">
        <v>105</v>
      </c>
      <c r="H45" s="28">
        <v>6466.35</v>
      </c>
      <c r="I45" s="29">
        <v>45824</v>
      </c>
    </row>
    <row r="46" spans="1:9">
      <c r="A46" s="146" t="s">
        <v>100</v>
      </c>
      <c r="B46" s="1" t="s">
        <v>107</v>
      </c>
      <c r="C46" s="1" t="s">
        <v>120</v>
      </c>
      <c r="D46" s="1" t="s">
        <v>124</v>
      </c>
      <c r="E46" s="1" t="s">
        <v>103</v>
      </c>
      <c r="F46" s="1" t="s">
        <v>104</v>
      </c>
      <c r="G46" s="1" t="s">
        <v>103</v>
      </c>
      <c r="H46" s="28">
        <v>9486.39</v>
      </c>
      <c r="I46" s="29">
        <f ca="1">TODAY()+12</f>
        <v>46154</v>
      </c>
    </row>
    <row r="47" spans="1:9">
      <c r="A47" s="146" t="s">
        <v>109</v>
      </c>
      <c r="B47" s="1" t="s">
        <v>101</v>
      </c>
      <c r="C47" s="1" t="s">
        <v>120</v>
      </c>
      <c r="D47" s="1" t="s">
        <v>124</v>
      </c>
      <c r="E47" s="1" t="s">
        <v>103</v>
      </c>
      <c r="F47" s="1" t="s">
        <v>105</v>
      </c>
      <c r="G47" s="1" t="s">
        <v>105</v>
      </c>
      <c r="H47" s="28">
        <v>10588</v>
      </c>
      <c r="I47" s="29">
        <v>45832</v>
      </c>
    </row>
    <row r="48" spans="1:9">
      <c r="A48" s="146" t="s">
        <v>100</v>
      </c>
      <c r="B48" s="1" t="s">
        <v>107</v>
      </c>
      <c r="C48" s="1" t="s">
        <v>120</v>
      </c>
      <c r="D48" s="1" t="s">
        <v>124</v>
      </c>
      <c r="E48" s="1" t="s">
        <v>103</v>
      </c>
      <c r="F48" s="1" t="s">
        <v>104</v>
      </c>
      <c r="G48" s="1" t="s">
        <v>103</v>
      </c>
      <c r="H48" s="28">
        <v>11040</v>
      </c>
      <c r="I48" s="29">
        <f ca="1">TODAY()+29</f>
        <v>46171</v>
      </c>
    </row>
    <row r="49" spans="1:11">
      <c r="A49" s="146" t="s">
        <v>100</v>
      </c>
      <c r="B49" s="1" t="s">
        <v>107</v>
      </c>
      <c r="C49" s="1" t="s">
        <v>120</v>
      </c>
      <c r="D49" s="1" t="s">
        <v>124</v>
      </c>
      <c r="E49" s="1" t="s">
        <v>103</v>
      </c>
      <c r="F49" s="1" t="s">
        <v>104</v>
      </c>
      <c r="G49" s="1" t="s">
        <v>103</v>
      </c>
      <c r="H49" s="28">
        <v>11048</v>
      </c>
      <c r="I49" s="29">
        <f ca="1">TODAY()+82</f>
        <v>46224</v>
      </c>
    </row>
    <row r="50" spans="1:11">
      <c r="A50" s="146" t="s">
        <v>100</v>
      </c>
      <c r="B50" s="1" t="s">
        <v>119</v>
      </c>
      <c r="C50" s="1" t="s">
        <v>123</v>
      </c>
      <c r="D50" s="1" t="s">
        <v>124</v>
      </c>
      <c r="E50" s="1" t="s">
        <v>103</v>
      </c>
      <c r="F50" s="1" t="s">
        <v>104</v>
      </c>
      <c r="G50" s="1" t="s">
        <v>103</v>
      </c>
      <c r="H50" s="28">
        <v>11139.5</v>
      </c>
      <c r="I50" s="29">
        <f ca="1">TODAY()+23</f>
        <v>46165</v>
      </c>
    </row>
    <row r="51" spans="1:11">
      <c r="A51" s="146" t="s">
        <v>109</v>
      </c>
      <c r="B51" s="1" t="s">
        <v>107</v>
      </c>
      <c r="C51" s="1" t="s">
        <v>120</v>
      </c>
      <c r="D51" s="1" t="s">
        <v>124</v>
      </c>
      <c r="E51" s="1" t="s">
        <v>103</v>
      </c>
      <c r="F51" s="1" t="s">
        <v>105</v>
      </c>
      <c r="G51" s="1" t="s">
        <v>105</v>
      </c>
      <c r="H51" s="28">
        <v>11373</v>
      </c>
      <c r="I51" s="29">
        <v>45803</v>
      </c>
    </row>
    <row r="52" spans="1:11">
      <c r="A52" s="146" t="s">
        <v>109</v>
      </c>
      <c r="B52" s="1" t="s">
        <v>107</v>
      </c>
      <c r="C52" s="1" t="s">
        <v>120</v>
      </c>
      <c r="D52" s="1" t="s">
        <v>124</v>
      </c>
      <c r="E52" s="1" t="s">
        <v>103</v>
      </c>
      <c r="F52" s="1" t="s">
        <v>105</v>
      </c>
      <c r="G52" s="1" t="s">
        <v>105</v>
      </c>
      <c r="H52" s="28">
        <v>11575</v>
      </c>
      <c r="I52" s="29">
        <v>45722</v>
      </c>
    </row>
    <row r="53" spans="1:11">
      <c r="A53" s="146" t="s">
        <v>109</v>
      </c>
      <c r="B53" s="1" t="s">
        <v>101</v>
      </c>
      <c r="C53" s="1" t="s">
        <v>120</v>
      </c>
      <c r="D53" s="1" t="s">
        <v>124</v>
      </c>
      <c r="E53" s="1" t="s">
        <v>105</v>
      </c>
      <c r="F53" s="1" t="s">
        <v>105</v>
      </c>
      <c r="G53" s="1" t="s">
        <v>105</v>
      </c>
      <c r="H53" s="28">
        <v>11771.5</v>
      </c>
      <c r="I53" s="29">
        <v>45744</v>
      </c>
    </row>
    <row r="54" spans="1:11">
      <c r="A54" s="146" t="s">
        <v>109</v>
      </c>
      <c r="B54" s="1" t="s">
        <v>119</v>
      </c>
      <c r="C54" s="1" t="s">
        <v>123</v>
      </c>
      <c r="D54" s="1" t="s">
        <v>124</v>
      </c>
      <c r="E54" s="1" t="s">
        <v>103</v>
      </c>
      <c r="F54" s="1" t="s">
        <v>104</v>
      </c>
      <c r="G54" s="1" t="s">
        <v>105</v>
      </c>
      <c r="H54" s="28">
        <v>12400</v>
      </c>
      <c r="I54" s="29">
        <v>45792</v>
      </c>
    </row>
    <row r="55" spans="1:11">
      <c r="A55" s="146" t="s">
        <v>109</v>
      </c>
      <c r="B55" s="1" t="s">
        <v>119</v>
      </c>
      <c r="C55" s="1" t="s">
        <v>123</v>
      </c>
      <c r="D55" s="1" t="s">
        <v>124</v>
      </c>
      <c r="E55" s="1" t="s">
        <v>103</v>
      </c>
      <c r="F55" s="1" t="s">
        <v>104</v>
      </c>
      <c r="G55" s="1" t="s">
        <v>105</v>
      </c>
      <c r="H55" s="28">
        <v>12624</v>
      </c>
      <c r="I55" s="29">
        <v>45751</v>
      </c>
    </row>
    <row r="56" spans="1:11">
      <c r="A56" s="146" t="s">
        <v>109</v>
      </c>
      <c r="B56" s="1" t="s">
        <v>119</v>
      </c>
      <c r="C56" s="1" t="s">
        <v>123</v>
      </c>
      <c r="D56" s="1" t="s">
        <v>124</v>
      </c>
      <c r="E56" s="1" t="s">
        <v>103</v>
      </c>
      <c r="F56" s="1" t="s">
        <v>104</v>
      </c>
      <c r="G56" s="1" t="s">
        <v>105</v>
      </c>
      <c r="H56" s="28">
        <v>12624</v>
      </c>
      <c r="I56" s="29">
        <v>45796</v>
      </c>
    </row>
    <row r="57" spans="1:11">
      <c r="A57" s="146" t="s">
        <v>109</v>
      </c>
      <c r="B57" s="1" t="s">
        <v>101</v>
      </c>
      <c r="C57" s="1" t="s">
        <v>120</v>
      </c>
      <c r="D57" s="1" t="s">
        <v>124</v>
      </c>
      <c r="E57" s="1" t="s">
        <v>105</v>
      </c>
      <c r="F57" s="1" t="s">
        <v>105</v>
      </c>
      <c r="G57" s="1" t="s">
        <v>105</v>
      </c>
      <c r="H57" s="28">
        <v>13979.25</v>
      </c>
      <c r="I57" s="29">
        <v>45722</v>
      </c>
    </row>
    <row r="58" spans="1:11">
      <c r="A58" s="146" t="s">
        <v>109</v>
      </c>
      <c r="B58" s="1" t="s">
        <v>119</v>
      </c>
      <c r="C58" s="1" t="s">
        <v>123</v>
      </c>
      <c r="D58" s="1" t="s">
        <v>124</v>
      </c>
      <c r="E58" s="1" t="s">
        <v>103</v>
      </c>
      <c r="F58" s="1" t="s">
        <v>104</v>
      </c>
      <c r="G58" s="1" t="s">
        <v>105</v>
      </c>
      <c r="H58" s="28">
        <v>14786</v>
      </c>
      <c r="I58" s="29">
        <v>45765</v>
      </c>
    </row>
    <row r="59" spans="1:11">
      <c r="A59" s="146" t="s">
        <v>109</v>
      </c>
      <c r="B59" s="1" t="s">
        <v>119</v>
      </c>
      <c r="C59" s="1" t="s">
        <v>123</v>
      </c>
      <c r="D59" s="1" t="s">
        <v>124</v>
      </c>
      <c r="E59" s="1" t="s">
        <v>103</v>
      </c>
      <c r="F59" s="1" t="s">
        <v>104</v>
      </c>
      <c r="G59" s="1" t="s">
        <v>105</v>
      </c>
      <c r="H59" s="28">
        <v>15389.5</v>
      </c>
      <c r="I59" s="29">
        <v>45808</v>
      </c>
    </row>
    <row r="60" spans="1:11">
      <c r="A60" s="146" t="s">
        <v>109</v>
      </c>
      <c r="B60" s="1" t="s">
        <v>119</v>
      </c>
      <c r="C60" s="1" t="s">
        <v>123</v>
      </c>
      <c r="D60" s="1" t="s">
        <v>124</v>
      </c>
      <c r="E60" s="1" t="s">
        <v>105</v>
      </c>
      <c r="F60" s="1" t="s">
        <v>104</v>
      </c>
      <c r="G60" s="1" t="s">
        <v>105</v>
      </c>
      <c r="H60" s="28">
        <v>15506.57</v>
      </c>
      <c r="I60" s="29">
        <v>45729</v>
      </c>
    </row>
    <row r="61" spans="1:11">
      <c r="A61" s="146" t="s">
        <v>100</v>
      </c>
      <c r="B61" s="1" t="s">
        <v>119</v>
      </c>
      <c r="C61" s="1" t="s">
        <v>123</v>
      </c>
      <c r="D61" s="1" t="s">
        <v>124</v>
      </c>
      <c r="E61" s="1" t="s">
        <v>103</v>
      </c>
      <c r="F61" s="1" t="s">
        <v>104</v>
      </c>
      <c r="G61" s="1" t="s">
        <v>103</v>
      </c>
      <c r="H61" s="28">
        <v>15850</v>
      </c>
      <c r="I61" s="29">
        <f ca="1">TODAY()+20</f>
        <v>46162</v>
      </c>
      <c r="K61" s="30"/>
    </row>
    <row r="62" spans="1:11">
      <c r="A62" s="146" t="s">
        <v>109</v>
      </c>
      <c r="B62" s="1" t="s">
        <v>119</v>
      </c>
      <c r="C62" s="1" t="s">
        <v>123</v>
      </c>
      <c r="D62" s="1" t="s">
        <v>124</v>
      </c>
      <c r="E62" s="1" t="s">
        <v>103</v>
      </c>
      <c r="F62" s="1" t="s">
        <v>104</v>
      </c>
      <c r="G62" s="1" t="s">
        <v>105</v>
      </c>
      <c r="H62" s="28">
        <v>16364.28</v>
      </c>
      <c r="I62" s="29">
        <v>45786</v>
      </c>
    </row>
    <row r="63" spans="1:11">
      <c r="A63" s="146" t="s">
        <v>109</v>
      </c>
      <c r="B63" s="1" t="s">
        <v>107</v>
      </c>
      <c r="C63" s="1" t="s">
        <v>120</v>
      </c>
      <c r="D63" s="1" t="s">
        <v>124</v>
      </c>
      <c r="E63" s="1" t="s">
        <v>103</v>
      </c>
      <c r="F63" s="1" t="s">
        <v>105</v>
      </c>
      <c r="G63" s="1" t="s">
        <v>105</v>
      </c>
      <c r="H63" s="28">
        <v>49922</v>
      </c>
      <c r="I63" s="29">
        <v>45772</v>
      </c>
    </row>
    <row r="64" spans="1:11">
      <c r="A64" s="146" t="s">
        <v>109</v>
      </c>
      <c r="B64" s="1" t="s">
        <v>119</v>
      </c>
      <c r="C64" s="1" t="s">
        <v>123</v>
      </c>
      <c r="D64" s="1" t="s">
        <v>124</v>
      </c>
      <c r="E64" s="1" t="s">
        <v>103</v>
      </c>
      <c r="F64" s="1" t="s">
        <v>104</v>
      </c>
      <c r="G64" s="1" t="s">
        <v>105</v>
      </c>
      <c r="H64" s="28">
        <v>50061</v>
      </c>
      <c r="I64" s="29">
        <v>45815</v>
      </c>
    </row>
    <row r="65" spans="1:9">
      <c r="A65" s="146" t="s">
        <v>125</v>
      </c>
      <c r="B65" s="1" t="s">
        <v>107</v>
      </c>
      <c r="C65" s="1" t="s">
        <v>120</v>
      </c>
      <c r="D65" s="1" t="s">
        <v>124</v>
      </c>
      <c r="E65" s="1" t="s">
        <v>103</v>
      </c>
      <c r="F65" s="1" t="s">
        <v>104</v>
      </c>
      <c r="G65" s="1" t="s">
        <v>105</v>
      </c>
      <c r="H65" s="28">
        <v>50063</v>
      </c>
      <c r="I65" s="29">
        <v>45722</v>
      </c>
    </row>
    <row r="66" spans="1:9">
      <c r="A66" s="27" t="s">
        <v>126</v>
      </c>
      <c r="B66" s="1" t="s">
        <v>101</v>
      </c>
      <c r="C66" s="1" t="s">
        <v>120</v>
      </c>
      <c r="D66" s="1" t="s">
        <v>124</v>
      </c>
      <c r="E66" s="1" t="s">
        <v>103</v>
      </c>
      <c r="F66" s="1" t="s">
        <v>104</v>
      </c>
      <c r="G66" s="1" t="s">
        <v>105</v>
      </c>
      <c r="H66" s="28">
        <v>50995</v>
      </c>
      <c r="I66" s="29">
        <v>45777</v>
      </c>
    </row>
    <row r="67" spans="1:9">
      <c r="A67" s="146" t="s">
        <v>109</v>
      </c>
      <c r="B67" s="1" t="s">
        <v>119</v>
      </c>
      <c r="C67" s="1" t="s">
        <v>123</v>
      </c>
      <c r="D67" s="1" t="s">
        <v>124</v>
      </c>
      <c r="E67" s="1" t="s">
        <v>103</v>
      </c>
      <c r="F67" s="1" t="s">
        <v>104</v>
      </c>
      <c r="G67" s="1" t="s">
        <v>105</v>
      </c>
      <c r="H67" s="28">
        <v>51560</v>
      </c>
      <c r="I67" s="29">
        <v>45730</v>
      </c>
    </row>
    <row r="68" spans="1:9">
      <c r="A68" s="146" t="s">
        <v>106</v>
      </c>
      <c r="B68" s="1" t="s">
        <v>119</v>
      </c>
      <c r="C68" s="1" t="s">
        <v>123</v>
      </c>
      <c r="D68" s="1" t="s">
        <v>127</v>
      </c>
      <c r="E68" s="1" t="s">
        <v>103</v>
      </c>
      <c r="F68" s="1" t="s">
        <v>104</v>
      </c>
      <c r="G68" s="1" t="s">
        <v>105</v>
      </c>
      <c r="H68" s="28">
        <v>7855</v>
      </c>
      <c r="I68" s="29">
        <f ca="1">TODAY()+55</f>
        <v>46197</v>
      </c>
    </row>
    <row r="69" spans="1:9">
      <c r="A69" s="146" t="s">
        <v>109</v>
      </c>
      <c r="B69" s="1" t="s">
        <v>101</v>
      </c>
      <c r="C69" s="1" t="s">
        <v>123</v>
      </c>
      <c r="D69" s="1" t="s">
        <v>127</v>
      </c>
      <c r="E69" s="1" t="s">
        <v>105</v>
      </c>
      <c r="F69" s="1" t="s">
        <v>105</v>
      </c>
      <c r="G69" s="1" t="s">
        <v>105</v>
      </c>
      <c r="H69" s="28">
        <v>11182</v>
      </c>
      <c r="I69" s="29">
        <v>45777</v>
      </c>
    </row>
    <row r="70" spans="1:9">
      <c r="A70" s="146" t="s">
        <v>109</v>
      </c>
      <c r="B70" s="1" t="s">
        <v>107</v>
      </c>
      <c r="C70" s="1" t="s">
        <v>120</v>
      </c>
      <c r="D70" s="1" t="s">
        <v>127</v>
      </c>
      <c r="E70" s="1" t="s">
        <v>103</v>
      </c>
      <c r="F70" s="1" t="s">
        <v>105</v>
      </c>
      <c r="G70" s="1" t="s">
        <v>105</v>
      </c>
      <c r="H70" s="28">
        <v>11375</v>
      </c>
      <c r="I70" s="29">
        <v>45777</v>
      </c>
    </row>
    <row r="71" spans="1:9">
      <c r="A71" s="146" t="s">
        <v>100</v>
      </c>
      <c r="B71" s="1" t="s">
        <v>107</v>
      </c>
      <c r="C71" s="1" t="s">
        <v>108</v>
      </c>
      <c r="D71" s="1" t="s">
        <v>127</v>
      </c>
      <c r="E71" s="1" t="s">
        <v>103</v>
      </c>
      <c r="F71" s="1" t="s">
        <v>104</v>
      </c>
      <c r="G71" s="1" t="s">
        <v>103</v>
      </c>
      <c r="H71" s="28">
        <v>11533</v>
      </c>
      <c r="I71" s="29">
        <v>45828</v>
      </c>
    </row>
    <row r="72" spans="1:9">
      <c r="A72" s="146" t="s">
        <v>109</v>
      </c>
      <c r="B72" s="1" t="s">
        <v>101</v>
      </c>
      <c r="C72" s="1" t="s">
        <v>123</v>
      </c>
      <c r="D72" s="1" t="s">
        <v>127</v>
      </c>
      <c r="E72" s="1" t="s">
        <v>105</v>
      </c>
      <c r="F72" s="1" t="s">
        <v>105</v>
      </c>
      <c r="G72" s="1" t="s">
        <v>105</v>
      </c>
      <c r="H72" s="28">
        <v>16375</v>
      </c>
      <c r="I72" s="29">
        <v>45815</v>
      </c>
    </row>
    <row r="73" spans="1:9">
      <c r="A73" s="146" t="s">
        <v>109</v>
      </c>
      <c r="B73" s="1" t="s">
        <v>101</v>
      </c>
      <c r="C73" s="1" t="s">
        <v>123</v>
      </c>
      <c r="D73" s="1" t="s">
        <v>127</v>
      </c>
      <c r="E73" s="1" t="s">
        <v>105</v>
      </c>
      <c r="F73" s="1" t="s">
        <v>105</v>
      </c>
      <c r="G73" s="1" t="s">
        <v>105</v>
      </c>
      <c r="H73" s="28">
        <v>50734</v>
      </c>
      <c r="I73" s="29">
        <v>45792</v>
      </c>
    </row>
    <row r="74" spans="1:9">
      <c r="A74" s="146" t="s">
        <v>109</v>
      </c>
      <c r="B74" s="1" t="s">
        <v>107</v>
      </c>
      <c r="C74" s="1" t="s">
        <v>112</v>
      </c>
      <c r="D74" s="1" t="s">
        <v>128</v>
      </c>
      <c r="E74" s="1" t="s">
        <v>103</v>
      </c>
      <c r="F74" s="1" t="s">
        <v>105</v>
      </c>
      <c r="G74" s="1" t="s">
        <v>105</v>
      </c>
      <c r="H74" s="28">
        <v>7964.5</v>
      </c>
      <c r="I74" s="29">
        <f ca="1">TODAY()+44</f>
        <v>46186</v>
      </c>
    </row>
    <row r="75" spans="1:9">
      <c r="A75" s="146" t="s">
        <v>106</v>
      </c>
      <c r="B75" s="1" t="s">
        <v>107</v>
      </c>
      <c r="C75" s="1" t="s">
        <v>108</v>
      </c>
      <c r="D75" s="1" t="s">
        <v>128</v>
      </c>
      <c r="E75" s="1" t="s">
        <v>103</v>
      </c>
      <c r="F75" s="1" t="s">
        <v>104</v>
      </c>
      <c r="G75" s="1" t="s">
        <v>105</v>
      </c>
      <c r="H75" s="28">
        <v>10440</v>
      </c>
      <c r="I75" s="29">
        <v>45743</v>
      </c>
    </row>
    <row r="76" spans="1:9">
      <c r="A76" s="146" t="s">
        <v>109</v>
      </c>
      <c r="B76" s="1" t="s">
        <v>107</v>
      </c>
      <c r="C76" s="1" t="s">
        <v>108</v>
      </c>
      <c r="D76" s="1" t="s">
        <v>128</v>
      </c>
      <c r="E76" s="1" t="s">
        <v>105</v>
      </c>
      <c r="F76" s="1" t="s">
        <v>105</v>
      </c>
      <c r="G76" s="1" t="s">
        <v>105</v>
      </c>
      <c r="H76" s="28">
        <v>10500</v>
      </c>
      <c r="I76" s="29">
        <v>45716</v>
      </c>
    </row>
    <row r="77" spans="1:9">
      <c r="A77" s="146" t="s">
        <v>109</v>
      </c>
      <c r="B77" s="1" t="s">
        <v>107</v>
      </c>
      <c r="C77" s="1" t="s">
        <v>108</v>
      </c>
      <c r="D77" s="1" t="s">
        <v>128</v>
      </c>
      <c r="E77" s="1" t="s">
        <v>105</v>
      </c>
      <c r="F77" s="1" t="s">
        <v>105</v>
      </c>
      <c r="G77" s="1" t="s">
        <v>105</v>
      </c>
      <c r="H77" s="28">
        <v>13000</v>
      </c>
      <c r="I77" s="29">
        <v>45789</v>
      </c>
    </row>
    <row r="78" spans="1:9">
      <c r="A78" s="146" t="s">
        <v>106</v>
      </c>
      <c r="B78" s="1" t="s">
        <v>101</v>
      </c>
      <c r="C78" s="1" t="s">
        <v>108</v>
      </c>
      <c r="D78" s="1" t="s">
        <v>128</v>
      </c>
      <c r="E78" s="1" t="s">
        <v>103</v>
      </c>
      <c r="F78" s="1" t="s">
        <v>104</v>
      </c>
      <c r="G78" s="1" t="s">
        <v>105</v>
      </c>
      <c r="H78" s="28">
        <v>15253.6</v>
      </c>
      <c r="I78" s="29">
        <v>45785</v>
      </c>
    </row>
    <row r="79" spans="1:9">
      <c r="A79" s="146" t="s">
        <v>106</v>
      </c>
      <c r="B79" s="1" t="s">
        <v>107</v>
      </c>
      <c r="C79" s="1" t="s">
        <v>108</v>
      </c>
      <c r="D79" s="1" t="s">
        <v>128</v>
      </c>
      <c r="E79" s="1" t="s">
        <v>103</v>
      </c>
      <c r="F79" s="1" t="s">
        <v>104</v>
      </c>
      <c r="G79" s="1" t="s">
        <v>105</v>
      </c>
      <c r="H79" s="28">
        <v>55807.5</v>
      </c>
      <c r="I79" s="29">
        <v>45789</v>
      </c>
    </row>
    <row r="80" spans="1:9">
      <c r="A80" s="146" t="s">
        <v>106</v>
      </c>
      <c r="B80" s="1" t="s">
        <v>107</v>
      </c>
      <c r="C80" s="1" t="s">
        <v>108</v>
      </c>
      <c r="D80" s="1" t="s">
        <v>128</v>
      </c>
      <c r="E80" s="1" t="s">
        <v>103</v>
      </c>
      <c r="F80" s="1" t="s">
        <v>104</v>
      </c>
      <c r="G80" s="1" t="s">
        <v>105</v>
      </c>
      <c r="H80" s="28">
        <v>59462.5</v>
      </c>
      <c r="I80" s="29">
        <v>45750</v>
      </c>
    </row>
    <row r="81" spans="1:9">
      <c r="A81" s="146" t="s">
        <v>106</v>
      </c>
      <c r="B81" s="1" t="s">
        <v>107</v>
      </c>
      <c r="C81" s="1" t="s">
        <v>108</v>
      </c>
      <c r="D81" s="1" t="s">
        <v>128</v>
      </c>
      <c r="E81" s="1" t="s">
        <v>103</v>
      </c>
      <c r="F81" s="1" t="s">
        <v>104</v>
      </c>
      <c r="G81" s="1" t="s">
        <v>105</v>
      </c>
      <c r="H81" s="28">
        <v>59644</v>
      </c>
      <c r="I81" s="29">
        <v>45834</v>
      </c>
    </row>
    <row r="82" spans="1:9">
      <c r="A82" s="146" t="s">
        <v>106</v>
      </c>
      <c r="B82" s="1" t="s">
        <v>107</v>
      </c>
      <c r="C82" s="1" t="s">
        <v>108</v>
      </c>
      <c r="D82" s="1" t="s">
        <v>128</v>
      </c>
      <c r="E82" s="1" t="s">
        <v>103</v>
      </c>
      <c r="F82" s="1" t="s">
        <v>104</v>
      </c>
      <c r="G82" s="1" t="s">
        <v>105</v>
      </c>
      <c r="H82" s="28">
        <v>65070</v>
      </c>
      <c r="I82" s="29">
        <v>45802</v>
      </c>
    </row>
    <row r="83" spans="1:9">
      <c r="A83" s="146" t="s">
        <v>109</v>
      </c>
      <c r="B83" s="1" t="s">
        <v>107</v>
      </c>
      <c r="C83" s="1" t="s">
        <v>112</v>
      </c>
      <c r="D83" s="1" t="s">
        <v>128</v>
      </c>
      <c r="E83" s="1" t="s">
        <v>103</v>
      </c>
      <c r="F83" s="1" t="s">
        <v>105</v>
      </c>
      <c r="G83" s="1" t="s">
        <v>105</v>
      </c>
      <c r="H83" s="28">
        <v>78878</v>
      </c>
      <c r="I83" s="29">
        <f ca="1">TODAY()+55</f>
        <v>46197</v>
      </c>
    </row>
    <row r="84" spans="1:9">
      <c r="A84" s="146" t="s">
        <v>106</v>
      </c>
      <c r="B84" s="1" t="s">
        <v>107</v>
      </c>
      <c r="C84" s="1" t="s">
        <v>114</v>
      </c>
      <c r="D84" s="1" t="s">
        <v>129</v>
      </c>
      <c r="E84" s="1" t="s">
        <v>103</v>
      </c>
      <c r="F84" s="1" t="s">
        <v>104</v>
      </c>
      <c r="G84" s="1" t="s">
        <v>105</v>
      </c>
      <c r="H84" s="28">
        <v>8690</v>
      </c>
      <c r="I84" s="29">
        <v>45766</v>
      </c>
    </row>
    <row r="85" spans="1:9">
      <c r="A85" s="146" t="s">
        <v>109</v>
      </c>
      <c r="B85" s="1" t="s">
        <v>107</v>
      </c>
      <c r="C85" s="1" t="s">
        <v>114</v>
      </c>
      <c r="D85" s="1" t="s">
        <v>129</v>
      </c>
      <c r="E85" s="1" t="s">
        <v>105</v>
      </c>
      <c r="F85" s="1" t="s">
        <v>105</v>
      </c>
      <c r="G85" s="1" t="s">
        <v>105</v>
      </c>
      <c r="H85" s="28">
        <v>8915</v>
      </c>
      <c r="I85" s="29">
        <v>45721</v>
      </c>
    </row>
    <row r="86" spans="1:9">
      <c r="A86" s="146" t="s">
        <v>109</v>
      </c>
      <c r="B86" s="1" t="s">
        <v>107</v>
      </c>
      <c r="C86" s="1" t="s">
        <v>114</v>
      </c>
      <c r="D86" s="1" t="s">
        <v>129</v>
      </c>
      <c r="E86" s="1" t="s">
        <v>103</v>
      </c>
      <c r="F86" s="1" t="s">
        <v>105</v>
      </c>
      <c r="G86" s="1" t="s">
        <v>105</v>
      </c>
      <c r="H86" s="28">
        <v>9000</v>
      </c>
      <c r="I86" s="29">
        <v>45789</v>
      </c>
    </row>
    <row r="87" spans="1:9">
      <c r="A87" s="146" t="s">
        <v>100</v>
      </c>
      <c r="B87" s="1" t="s">
        <v>101</v>
      </c>
      <c r="C87" s="1" t="s">
        <v>130</v>
      </c>
      <c r="D87" s="1" t="s">
        <v>129</v>
      </c>
      <c r="E87" s="1" t="s">
        <v>103</v>
      </c>
      <c r="F87" s="1" t="s">
        <v>104</v>
      </c>
      <c r="G87" s="1" t="s">
        <v>103</v>
      </c>
      <c r="H87" s="28">
        <v>9128.5</v>
      </c>
      <c r="I87" s="29">
        <v>45722</v>
      </c>
    </row>
    <row r="88" spans="1:9">
      <c r="A88" s="146" t="s">
        <v>100</v>
      </c>
      <c r="B88" s="1" t="s">
        <v>101</v>
      </c>
      <c r="C88" s="1" t="s">
        <v>130</v>
      </c>
      <c r="D88" s="1" t="s">
        <v>129</v>
      </c>
      <c r="E88" s="1" t="s">
        <v>103</v>
      </c>
      <c r="F88" s="1" t="s">
        <v>104</v>
      </c>
      <c r="G88" s="1" t="s">
        <v>103</v>
      </c>
      <c r="H88" s="28">
        <v>9436.25</v>
      </c>
      <c r="I88" s="29">
        <v>45779</v>
      </c>
    </row>
    <row r="89" spans="1:9">
      <c r="A89" s="146" t="s">
        <v>106</v>
      </c>
      <c r="B89" s="1" t="s">
        <v>101</v>
      </c>
      <c r="C89" s="1" t="s">
        <v>130</v>
      </c>
      <c r="D89" s="1" t="s">
        <v>129</v>
      </c>
      <c r="E89" s="1" t="s">
        <v>103</v>
      </c>
      <c r="F89" s="1" t="s">
        <v>104</v>
      </c>
      <c r="G89" s="1" t="s">
        <v>105</v>
      </c>
      <c r="H89" s="28">
        <v>9820</v>
      </c>
      <c r="I89" s="29">
        <v>45786</v>
      </c>
    </row>
    <row r="90" spans="1:9">
      <c r="A90" s="146" t="s">
        <v>100</v>
      </c>
      <c r="B90" s="1" t="s">
        <v>107</v>
      </c>
      <c r="C90" s="1" t="s">
        <v>114</v>
      </c>
      <c r="D90" s="1" t="s">
        <v>129</v>
      </c>
      <c r="E90" s="1" t="s">
        <v>103</v>
      </c>
      <c r="F90" s="1" t="s">
        <v>104</v>
      </c>
      <c r="G90" s="1" t="s">
        <v>103</v>
      </c>
      <c r="H90" s="28">
        <v>9865</v>
      </c>
      <c r="I90" s="29">
        <f ca="1">TODAY()+45</f>
        <v>46187</v>
      </c>
    </row>
    <row r="91" spans="1:9">
      <c r="A91" s="146" t="s">
        <v>100</v>
      </c>
      <c r="B91" s="1" t="s">
        <v>101</v>
      </c>
      <c r="C91" s="1" t="s">
        <v>130</v>
      </c>
      <c r="D91" s="1" t="s">
        <v>129</v>
      </c>
      <c r="E91" s="1" t="s">
        <v>103</v>
      </c>
      <c r="F91" s="1" t="s">
        <v>104</v>
      </c>
      <c r="G91" s="1" t="s">
        <v>103</v>
      </c>
      <c r="H91" s="28">
        <v>10142</v>
      </c>
      <c r="I91" s="29">
        <f ca="1">TODAY()+14</f>
        <v>46156</v>
      </c>
    </row>
    <row r="92" spans="1:9">
      <c r="A92" s="146" t="s">
        <v>100</v>
      </c>
      <c r="B92" s="1" t="s">
        <v>101</v>
      </c>
      <c r="C92" s="1" t="s">
        <v>130</v>
      </c>
      <c r="D92" s="1" t="s">
        <v>129</v>
      </c>
      <c r="E92" s="1" t="s">
        <v>103</v>
      </c>
      <c r="F92" s="1" t="s">
        <v>104</v>
      </c>
      <c r="G92" s="1" t="s">
        <v>103</v>
      </c>
      <c r="H92" s="28">
        <v>10225</v>
      </c>
      <c r="I92" s="29">
        <v>45793</v>
      </c>
    </row>
    <row r="93" spans="1:9">
      <c r="A93" s="146" t="s">
        <v>100</v>
      </c>
      <c r="B93" s="1" t="s">
        <v>101</v>
      </c>
      <c r="C93" s="1" t="s">
        <v>130</v>
      </c>
      <c r="D93" s="1" t="s">
        <v>129</v>
      </c>
      <c r="E93" s="1" t="s">
        <v>103</v>
      </c>
      <c r="F93" s="1" t="s">
        <v>104</v>
      </c>
      <c r="G93" s="1" t="s">
        <v>103</v>
      </c>
      <c r="H93" s="28">
        <v>10425</v>
      </c>
      <c r="I93" s="29">
        <f ca="1">TODAY()+20</f>
        <v>46162</v>
      </c>
    </row>
    <row r="94" spans="1:9">
      <c r="A94" s="146" t="s">
        <v>106</v>
      </c>
      <c r="B94" s="1" t="s">
        <v>107</v>
      </c>
      <c r="C94" s="1" t="s">
        <v>114</v>
      </c>
      <c r="D94" s="1" t="s">
        <v>129</v>
      </c>
      <c r="E94" s="1" t="s">
        <v>103</v>
      </c>
      <c r="F94" s="1" t="s">
        <v>104</v>
      </c>
      <c r="G94" s="1" t="s">
        <v>105</v>
      </c>
      <c r="H94" s="28">
        <v>10491.49</v>
      </c>
      <c r="I94" s="29">
        <v>45775</v>
      </c>
    </row>
    <row r="95" spans="1:9">
      <c r="A95" s="146" t="s">
        <v>109</v>
      </c>
      <c r="B95" s="1" t="s">
        <v>101</v>
      </c>
      <c r="C95" s="1" t="s">
        <v>130</v>
      </c>
      <c r="D95" s="1" t="s">
        <v>129</v>
      </c>
      <c r="E95" s="1" t="s">
        <v>103</v>
      </c>
      <c r="F95" s="1" t="s">
        <v>105</v>
      </c>
      <c r="G95" s="1" t="s">
        <v>105</v>
      </c>
      <c r="H95" s="28">
        <v>10651.5</v>
      </c>
      <c r="I95" s="29">
        <v>45810</v>
      </c>
    </row>
    <row r="96" spans="1:9">
      <c r="A96" s="146" t="s">
        <v>100</v>
      </c>
      <c r="B96" s="1" t="s">
        <v>107</v>
      </c>
      <c r="C96" s="1" t="s">
        <v>114</v>
      </c>
      <c r="D96" s="1" t="s">
        <v>129</v>
      </c>
      <c r="E96" s="1" t="s">
        <v>103</v>
      </c>
      <c r="F96" s="1" t="s">
        <v>104</v>
      </c>
      <c r="G96" s="1" t="s">
        <v>103</v>
      </c>
      <c r="H96" s="28">
        <v>10653</v>
      </c>
      <c r="I96" s="29">
        <f ca="1">TODAY()+45</f>
        <v>46187</v>
      </c>
    </row>
    <row r="97" spans="1:9">
      <c r="A97" s="146" t="s">
        <v>109</v>
      </c>
      <c r="B97" s="1" t="s">
        <v>101</v>
      </c>
      <c r="C97" s="1" t="s">
        <v>130</v>
      </c>
      <c r="D97" s="1" t="s">
        <v>129</v>
      </c>
      <c r="E97" s="1" t="s">
        <v>103</v>
      </c>
      <c r="F97" s="1" t="s">
        <v>105</v>
      </c>
      <c r="G97" s="1" t="s">
        <v>105</v>
      </c>
      <c r="H97" s="28">
        <v>11351.5</v>
      </c>
      <c r="I97" s="29">
        <v>45720</v>
      </c>
    </row>
    <row r="98" spans="1:9">
      <c r="A98" s="146" t="s">
        <v>109</v>
      </c>
      <c r="B98" s="1" t="s">
        <v>101</v>
      </c>
      <c r="C98" s="1" t="s">
        <v>120</v>
      </c>
      <c r="D98" s="1" t="s">
        <v>129</v>
      </c>
      <c r="E98" s="1" t="s">
        <v>105</v>
      </c>
      <c r="F98" s="1" t="s">
        <v>105</v>
      </c>
      <c r="G98" s="1" t="s">
        <v>105</v>
      </c>
      <c r="H98" s="28">
        <v>11605.5</v>
      </c>
      <c r="I98" s="29">
        <v>45726</v>
      </c>
    </row>
    <row r="99" spans="1:9">
      <c r="A99" s="146" t="s">
        <v>100</v>
      </c>
      <c r="B99" s="1" t="s">
        <v>107</v>
      </c>
      <c r="C99" s="1" t="s">
        <v>114</v>
      </c>
      <c r="D99" s="1" t="s">
        <v>129</v>
      </c>
      <c r="E99" s="1" t="s">
        <v>103</v>
      </c>
      <c r="F99" s="1" t="s">
        <v>104</v>
      </c>
      <c r="G99" s="1" t="s">
        <v>103</v>
      </c>
      <c r="H99" s="28">
        <v>12035.5</v>
      </c>
      <c r="I99" s="29">
        <f ca="1">TODAY()+15</f>
        <v>46157</v>
      </c>
    </row>
    <row r="100" spans="1:9">
      <c r="A100" s="146" t="s">
        <v>109</v>
      </c>
      <c r="B100" s="1" t="s">
        <v>107</v>
      </c>
      <c r="C100" s="1" t="s">
        <v>114</v>
      </c>
      <c r="D100" s="1" t="s">
        <v>129</v>
      </c>
      <c r="E100" s="1" t="s">
        <v>103</v>
      </c>
      <c r="F100" s="1" t="s">
        <v>105</v>
      </c>
      <c r="G100" s="1" t="s">
        <v>105</v>
      </c>
      <c r="H100" s="28">
        <v>12250</v>
      </c>
      <c r="I100" s="29">
        <v>45756</v>
      </c>
    </row>
    <row r="101" spans="1:9">
      <c r="A101" s="146" t="s">
        <v>109</v>
      </c>
      <c r="B101" s="1" t="s">
        <v>107</v>
      </c>
      <c r="C101" s="1" t="s">
        <v>114</v>
      </c>
      <c r="D101" s="1" t="s">
        <v>129</v>
      </c>
      <c r="E101" s="1" t="s">
        <v>103</v>
      </c>
      <c r="F101" s="1" t="s">
        <v>105</v>
      </c>
      <c r="G101" s="1" t="s">
        <v>105</v>
      </c>
      <c r="H101" s="28">
        <v>12250</v>
      </c>
      <c r="I101" s="29">
        <v>45727</v>
      </c>
    </row>
    <row r="102" spans="1:9">
      <c r="A102" s="146" t="s">
        <v>106</v>
      </c>
      <c r="B102" s="1" t="s">
        <v>101</v>
      </c>
      <c r="C102" s="1" t="s">
        <v>130</v>
      </c>
      <c r="D102" s="1" t="s">
        <v>129</v>
      </c>
      <c r="E102" s="1" t="s">
        <v>103</v>
      </c>
      <c r="F102" s="1" t="s">
        <v>104</v>
      </c>
      <c r="G102" s="1" t="s">
        <v>105</v>
      </c>
      <c r="H102" s="28">
        <v>12346</v>
      </c>
      <c r="I102" s="29">
        <v>45824</v>
      </c>
    </row>
    <row r="103" spans="1:9">
      <c r="A103" s="146" t="s">
        <v>109</v>
      </c>
      <c r="B103" s="1" t="s">
        <v>101</v>
      </c>
      <c r="C103" s="1" t="s">
        <v>130</v>
      </c>
      <c r="D103" s="1" t="s">
        <v>129</v>
      </c>
      <c r="E103" s="1" t="s">
        <v>103</v>
      </c>
      <c r="F103" s="1" t="s">
        <v>105</v>
      </c>
      <c r="G103" s="1" t="s">
        <v>105</v>
      </c>
      <c r="H103" s="28">
        <v>12852</v>
      </c>
      <c r="I103" s="29">
        <v>45743</v>
      </c>
    </row>
    <row r="104" spans="1:9">
      <c r="A104" s="146" t="s">
        <v>109</v>
      </c>
      <c r="B104" s="1" t="s">
        <v>119</v>
      </c>
      <c r="C104" s="1" t="s">
        <v>120</v>
      </c>
      <c r="D104" s="1" t="s">
        <v>129</v>
      </c>
      <c r="E104" s="1" t="s">
        <v>103</v>
      </c>
      <c r="F104" s="1" t="s">
        <v>104</v>
      </c>
      <c r="G104" s="1" t="s">
        <v>105</v>
      </c>
      <c r="H104" s="28">
        <v>12921.95</v>
      </c>
      <c r="I104" s="29">
        <v>45808</v>
      </c>
    </row>
    <row r="105" spans="1:9">
      <c r="A105" s="146" t="s">
        <v>109</v>
      </c>
      <c r="B105" s="1" t="s">
        <v>101</v>
      </c>
      <c r="C105" s="1" t="s">
        <v>130</v>
      </c>
      <c r="D105" s="1" t="s">
        <v>129</v>
      </c>
      <c r="E105" s="1" t="s">
        <v>103</v>
      </c>
      <c r="F105" s="1" t="s">
        <v>105</v>
      </c>
      <c r="G105" s="1" t="s">
        <v>105</v>
      </c>
      <c r="H105" s="28">
        <v>12981</v>
      </c>
      <c r="I105" s="29">
        <v>45733</v>
      </c>
    </row>
    <row r="106" spans="1:9">
      <c r="A106" s="146" t="s">
        <v>106</v>
      </c>
      <c r="B106" s="1" t="s">
        <v>101</v>
      </c>
      <c r="C106" s="1" t="s">
        <v>120</v>
      </c>
      <c r="D106" s="1" t="s">
        <v>129</v>
      </c>
      <c r="E106" s="1" t="s">
        <v>103</v>
      </c>
      <c r="F106" s="1" t="s">
        <v>104</v>
      </c>
      <c r="G106" s="1" t="s">
        <v>105</v>
      </c>
      <c r="H106" s="28">
        <v>13000</v>
      </c>
      <c r="I106" s="29">
        <v>45784</v>
      </c>
    </row>
    <row r="107" spans="1:9">
      <c r="A107" s="146" t="s">
        <v>106</v>
      </c>
      <c r="B107" s="1" t="s">
        <v>101</v>
      </c>
      <c r="C107" s="1" t="s">
        <v>130</v>
      </c>
      <c r="D107" s="1" t="s">
        <v>129</v>
      </c>
      <c r="E107" s="1" t="s">
        <v>103</v>
      </c>
      <c r="F107" s="1" t="s">
        <v>104</v>
      </c>
      <c r="G107" s="1" t="s">
        <v>105</v>
      </c>
      <c r="H107" s="28">
        <v>13000</v>
      </c>
      <c r="I107" s="29">
        <v>45820</v>
      </c>
    </row>
    <row r="108" spans="1:9">
      <c r="A108" s="146" t="s">
        <v>109</v>
      </c>
      <c r="B108" s="1" t="s">
        <v>119</v>
      </c>
      <c r="C108" s="1" t="s">
        <v>123</v>
      </c>
      <c r="D108" s="1" t="s">
        <v>129</v>
      </c>
      <c r="E108" s="1" t="s">
        <v>103</v>
      </c>
      <c r="F108" s="1" t="s">
        <v>104</v>
      </c>
      <c r="G108" s="1" t="s">
        <v>105</v>
      </c>
      <c r="H108" s="28">
        <v>13341.5</v>
      </c>
      <c r="I108" s="29">
        <v>45808</v>
      </c>
    </row>
    <row r="109" spans="1:9">
      <c r="A109" s="146" t="s">
        <v>109</v>
      </c>
      <c r="B109" s="1" t="s">
        <v>101</v>
      </c>
      <c r="C109" s="1" t="s">
        <v>130</v>
      </c>
      <c r="D109" s="1" t="s">
        <v>129</v>
      </c>
      <c r="E109" s="1" t="s">
        <v>103</v>
      </c>
      <c r="F109" s="1" t="s">
        <v>105</v>
      </c>
      <c r="G109" s="1" t="s">
        <v>105</v>
      </c>
      <c r="H109" s="28">
        <v>14464</v>
      </c>
      <c r="I109" s="29">
        <v>45801</v>
      </c>
    </row>
    <row r="110" spans="1:9">
      <c r="A110" s="146" t="s">
        <v>109</v>
      </c>
      <c r="B110" s="1" t="s">
        <v>101</v>
      </c>
      <c r="C110" s="1" t="s">
        <v>130</v>
      </c>
      <c r="D110" s="1" t="s">
        <v>129</v>
      </c>
      <c r="E110" s="1" t="s">
        <v>103</v>
      </c>
      <c r="F110" s="1" t="s">
        <v>105</v>
      </c>
      <c r="G110" s="1" t="s">
        <v>105</v>
      </c>
      <c r="H110" s="28">
        <v>16111.5</v>
      </c>
      <c r="I110" s="29">
        <v>45714</v>
      </c>
    </row>
    <row r="111" spans="1:9">
      <c r="A111" s="146" t="s">
        <v>100</v>
      </c>
      <c r="B111" s="1" t="s">
        <v>107</v>
      </c>
      <c r="C111" s="1" t="s">
        <v>114</v>
      </c>
      <c r="D111" s="1" t="s">
        <v>129</v>
      </c>
      <c r="E111" s="1" t="s">
        <v>103</v>
      </c>
      <c r="F111" s="1" t="s">
        <v>104</v>
      </c>
      <c r="G111" s="1" t="s">
        <v>103</v>
      </c>
      <c r="H111" s="28">
        <v>16250</v>
      </c>
      <c r="I111" s="29">
        <f ca="1">TODAY()+45</f>
        <v>46187</v>
      </c>
    </row>
    <row r="112" spans="1:9">
      <c r="A112" s="146" t="s">
        <v>109</v>
      </c>
      <c r="B112" s="1" t="s">
        <v>107</v>
      </c>
      <c r="C112" s="1" t="s">
        <v>114</v>
      </c>
      <c r="D112" s="1" t="s">
        <v>129</v>
      </c>
      <c r="E112" s="1" t="s">
        <v>103</v>
      </c>
      <c r="F112" s="1" t="s">
        <v>105</v>
      </c>
      <c r="G112" s="1" t="s">
        <v>105</v>
      </c>
      <c r="H112" s="28">
        <v>23450</v>
      </c>
      <c r="I112" s="29">
        <v>45791</v>
      </c>
    </row>
    <row r="113" spans="1:9">
      <c r="A113" s="146" t="s">
        <v>109</v>
      </c>
      <c r="B113" s="1" t="s">
        <v>101</v>
      </c>
      <c r="C113" s="1" t="s">
        <v>120</v>
      </c>
      <c r="D113" s="1" t="s">
        <v>129</v>
      </c>
      <c r="E113" s="1" t="s">
        <v>105</v>
      </c>
      <c r="F113" s="1" t="s">
        <v>105</v>
      </c>
      <c r="G113" s="1" t="s">
        <v>105</v>
      </c>
      <c r="H113" s="28">
        <v>32917.99</v>
      </c>
      <c r="I113" s="29">
        <v>45813</v>
      </c>
    </row>
    <row r="114" spans="1:9">
      <c r="A114" s="146" t="s">
        <v>109</v>
      </c>
      <c r="B114" s="1" t="s">
        <v>107</v>
      </c>
      <c r="C114" s="1" t="s">
        <v>114</v>
      </c>
      <c r="D114" s="1" t="s">
        <v>129</v>
      </c>
      <c r="E114" s="1" t="s">
        <v>103</v>
      </c>
      <c r="F114" s="1" t="s">
        <v>105</v>
      </c>
      <c r="G114" s="1" t="s">
        <v>105</v>
      </c>
      <c r="H114" s="28">
        <v>49925</v>
      </c>
      <c r="I114" s="29">
        <v>45718</v>
      </c>
    </row>
    <row r="115" spans="1:9">
      <c r="A115" s="146" t="s">
        <v>109</v>
      </c>
      <c r="B115" s="1" t="s">
        <v>101</v>
      </c>
      <c r="C115" s="1" t="s">
        <v>130</v>
      </c>
      <c r="D115" s="1" t="s">
        <v>129</v>
      </c>
      <c r="E115" s="1" t="s">
        <v>103</v>
      </c>
      <c r="F115" s="1" t="s">
        <v>105</v>
      </c>
      <c r="G115" s="1" t="s">
        <v>105</v>
      </c>
      <c r="H115" s="28">
        <v>50684</v>
      </c>
      <c r="I115" s="29">
        <v>45794</v>
      </c>
    </row>
    <row r="116" spans="1:9">
      <c r="A116" s="146" t="s">
        <v>109</v>
      </c>
      <c r="B116" s="1" t="s">
        <v>101</v>
      </c>
      <c r="C116" s="1" t="s">
        <v>130</v>
      </c>
      <c r="D116" s="1" t="s">
        <v>129</v>
      </c>
      <c r="E116" s="1" t="s">
        <v>103</v>
      </c>
      <c r="F116" s="1" t="s">
        <v>105</v>
      </c>
      <c r="G116" s="1" t="s">
        <v>105</v>
      </c>
      <c r="H116" s="28">
        <v>53565.5</v>
      </c>
      <c r="I116" s="29">
        <v>45742</v>
      </c>
    </row>
    <row r="117" spans="1:9">
      <c r="A117" s="146" t="s">
        <v>109</v>
      </c>
      <c r="B117" s="1" t="s">
        <v>101</v>
      </c>
      <c r="C117" s="1" t="s">
        <v>130</v>
      </c>
      <c r="D117" s="1" t="s">
        <v>129</v>
      </c>
      <c r="E117" s="1" t="s">
        <v>103</v>
      </c>
      <c r="F117" s="1" t="s">
        <v>105</v>
      </c>
      <c r="G117" s="1" t="s">
        <v>105</v>
      </c>
      <c r="H117" s="28">
        <v>60921.5</v>
      </c>
      <c r="I117" s="29">
        <v>45715</v>
      </c>
    </row>
    <row r="118" spans="1:9">
      <c r="A118" s="146" t="s">
        <v>109</v>
      </c>
      <c r="B118" s="1" t="s">
        <v>101</v>
      </c>
      <c r="C118" s="1" t="s">
        <v>130</v>
      </c>
      <c r="D118" s="1" t="s">
        <v>129</v>
      </c>
      <c r="E118" s="1" t="s">
        <v>103</v>
      </c>
      <c r="F118" s="1" t="s">
        <v>105</v>
      </c>
      <c r="G118" s="1" t="s">
        <v>105</v>
      </c>
      <c r="H118" s="28">
        <v>63565</v>
      </c>
      <c r="I118" s="29">
        <v>45814</v>
      </c>
    </row>
    <row r="119" spans="1:9">
      <c r="A119" s="146" t="s">
        <v>109</v>
      </c>
      <c r="B119" s="1" t="s">
        <v>107</v>
      </c>
      <c r="C119" s="1" t="s">
        <v>112</v>
      </c>
      <c r="D119" s="152" t="s">
        <v>131</v>
      </c>
      <c r="E119" s="1" t="s">
        <v>103</v>
      </c>
      <c r="F119" s="1" t="s">
        <v>105</v>
      </c>
      <c r="G119" s="1" t="s">
        <v>105</v>
      </c>
      <c r="H119" s="28">
        <v>11559.38</v>
      </c>
      <c r="I119" s="29">
        <v>45766</v>
      </c>
    </row>
    <row r="120" spans="1:9">
      <c r="A120" s="146" t="s">
        <v>106</v>
      </c>
      <c r="B120" s="1" t="s">
        <v>101</v>
      </c>
      <c r="C120" s="1" t="s">
        <v>108</v>
      </c>
      <c r="D120" s="1" t="s">
        <v>132</v>
      </c>
      <c r="E120" s="1" t="s">
        <v>103</v>
      </c>
      <c r="F120" s="1" t="s">
        <v>104</v>
      </c>
      <c r="G120" s="1" t="s">
        <v>105</v>
      </c>
      <c r="H120" s="28">
        <v>12769.48</v>
      </c>
      <c r="I120" s="29">
        <v>45749</v>
      </c>
    </row>
    <row r="121" spans="1:9">
      <c r="A121" s="146" t="s">
        <v>100</v>
      </c>
      <c r="B121" s="1" t="s">
        <v>107</v>
      </c>
      <c r="C121" s="1" t="s">
        <v>120</v>
      </c>
      <c r="D121" s="1" t="s">
        <v>133</v>
      </c>
      <c r="E121" s="1" t="s">
        <v>103</v>
      </c>
      <c r="F121" s="1" t="s">
        <v>104</v>
      </c>
      <c r="G121" s="1" t="s">
        <v>103</v>
      </c>
      <c r="H121" s="28">
        <v>6364</v>
      </c>
      <c r="I121" s="29">
        <f ca="1">TODAY()+50</f>
        <v>46192</v>
      </c>
    </row>
    <row r="122" spans="1:9">
      <c r="A122" s="146" t="s">
        <v>109</v>
      </c>
      <c r="B122" s="1" t="s">
        <v>134</v>
      </c>
      <c r="C122" s="1" t="s">
        <v>114</v>
      </c>
      <c r="D122" s="1" t="s">
        <v>133</v>
      </c>
      <c r="E122" s="1" t="s">
        <v>105</v>
      </c>
      <c r="F122" s="1" t="s">
        <v>105</v>
      </c>
      <c r="G122" s="1" t="s">
        <v>105</v>
      </c>
      <c r="H122" s="28">
        <v>9842.5</v>
      </c>
      <c r="I122" s="29">
        <v>45727</v>
      </c>
    </row>
    <row r="123" spans="1:9">
      <c r="A123" s="146" t="s">
        <v>109</v>
      </c>
      <c r="B123" s="1" t="s">
        <v>134</v>
      </c>
      <c r="C123" s="1" t="s">
        <v>114</v>
      </c>
      <c r="D123" s="1" t="s">
        <v>133</v>
      </c>
      <c r="E123" s="1" t="s">
        <v>105</v>
      </c>
      <c r="F123" s="1" t="s">
        <v>103</v>
      </c>
      <c r="G123" s="1" t="s">
        <v>105</v>
      </c>
      <c r="H123" s="28">
        <v>9845.9599999999991</v>
      </c>
      <c r="I123" s="29">
        <v>45781</v>
      </c>
    </row>
    <row r="124" spans="1:9">
      <c r="A124" s="146" t="s">
        <v>109</v>
      </c>
      <c r="B124" s="1" t="s">
        <v>134</v>
      </c>
      <c r="C124" s="1" t="s">
        <v>114</v>
      </c>
      <c r="D124" s="1" t="s">
        <v>133</v>
      </c>
      <c r="E124" s="1" t="s">
        <v>105</v>
      </c>
      <c r="F124" s="1" t="s">
        <v>103</v>
      </c>
      <c r="G124" s="1" t="s">
        <v>105</v>
      </c>
      <c r="H124" s="28">
        <v>10036.44</v>
      </c>
      <c r="I124" s="29">
        <v>45750</v>
      </c>
    </row>
    <row r="125" spans="1:9">
      <c r="A125" s="146" t="s">
        <v>109</v>
      </c>
      <c r="B125" s="1" t="s">
        <v>134</v>
      </c>
      <c r="C125" s="1" t="s">
        <v>114</v>
      </c>
      <c r="D125" s="1" t="s">
        <v>133</v>
      </c>
      <c r="E125" s="1" t="s">
        <v>105</v>
      </c>
      <c r="F125" s="1" t="s">
        <v>105</v>
      </c>
      <c r="G125" s="1" t="s">
        <v>105</v>
      </c>
      <c r="H125" s="28">
        <v>10129</v>
      </c>
      <c r="I125" s="29">
        <v>45738</v>
      </c>
    </row>
    <row r="126" spans="1:9">
      <c r="A126" s="146" t="s">
        <v>109</v>
      </c>
      <c r="B126" s="1" t="s">
        <v>116</v>
      </c>
      <c r="C126" s="1" t="s">
        <v>114</v>
      </c>
      <c r="D126" s="1" t="s">
        <v>133</v>
      </c>
      <c r="E126" s="1" t="s">
        <v>105</v>
      </c>
      <c r="F126" s="1" t="s">
        <v>105</v>
      </c>
      <c r="G126" s="1" t="s">
        <v>105</v>
      </c>
      <c r="H126" s="28">
        <v>10144</v>
      </c>
      <c r="I126" s="29">
        <v>45723</v>
      </c>
    </row>
    <row r="127" spans="1:9">
      <c r="A127" s="146" t="s">
        <v>109</v>
      </c>
      <c r="B127" s="1" t="s">
        <v>107</v>
      </c>
      <c r="C127" s="1" t="s">
        <v>120</v>
      </c>
      <c r="D127" s="1" t="s">
        <v>133</v>
      </c>
      <c r="E127" s="1" t="s">
        <v>103</v>
      </c>
      <c r="F127" s="1" t="s">
        <v>105</v>
      </c>
      <c r="G127" s="1" t="s">
        <v>105</v>
      </c>
      <c r="H127" s="28">
        <v>10202</v>
      </c>
      <c r="I127" s="29">
        <v>45727</v>
      </c>
    </row>
    <row r="128" spans="1:9">
      <c r="A128" s="146" t="s">
        <v>106</v>
      </c>
      <c r="B128" s="1" t="s">
        <v>135</v>
      </c>
      <c r="C128" s="1" t="s">
        <v>114</v>
      </c>
      <c r="D128" s="1" t="s">
        <v>133</v>
      </c>
      <c r="E128" s="1" t="s">
        <v>103</v>
      </c>
      <c r="F128" s="1" t="s">
        <v>104</v>
      </c>
      <c r="G128" s="1" t="s">
        <v>105</v>
      </c>
      <c r="H128" s="28">
        <v>10390</v>
      </c>
      <c r="I128" s="29">
        <v>45769</v>
      </c>
    </row>
    <row r="129" spans="1:9">
      <c r="A129" s="146" t="s">
        <v>109</v>
      </c>
      <c r="B129" s="1" t="s">
        <v>134</v>
      </c>
      <c r="C129" s="1" t="s">
        <v>114</v>
      </c>
      <c r="D129" s="1" t="s">
        <v>133</v>
      </c>
      <c r="E129" s="1" t="s">
        <v>105</v>
      </c>
      <c r="F129" s="1" t="s">
        <v>105</v>
      </c>
      <c r="G129" s="1" t="s">
        <v>105</v>
      </c>
      <c r="H129" s="28">
        <v>10600</v>
      </c>
      <c r="I129" s="29">
        <v>45824</v>
      </c>
    </row>
    <row r="130" spans="1:9">
      <c r="A130" s="146" t="s">
        <v>109</v>
      </c>
      <c r="B130" s="1" t="s">
        <v>135</v>
      </c>
      <c r="C130" s="1" t="s">
        <v>114</v>
      </c>
      <c r="D130" s="1" t="s">
        <v>133</v>
      </c>
      <c r="E130" s="1" t="s">
        <v>105</v>
      </c>
      <c r="F130" s="1" t="s">
        <v>105</v>
      </c>
      <c r="G130" s="1" t="s">
        <v>105</v>
      </c>
      <c r="H130" s="28">
        <v>10661.6</v>
      </c>
      <c r="I130" s="29">
        <v>45822</v>
      </c>
    </row>
    <row r="131" spans="1:9">
      <c r="A131" s="146" t="s">
        <v>109</v>
      </c>
      <c r="B131" s="1" t="s">
        <v>107</v>
      </c>
      <c r="C131" s="1" t="s">
        <v>120</v>
      </c>
      <c r="D131" s="1" t="s">
        <v>133</v>
      </c>
      <c r="E131" s="1" t="s">
        <v>103</v>
      </c>
      <c r="F131" s="1" t="s">
        <v>105</v>
      </c>
      <c r="G131" s="1" t="s">
        <v>105</v>
      </c>
      <c r="H131" s="28">
        <v>10750</v>
      </c>
      <c r="I131" s="29">
        <v>45795</v>
      </c>
    </row>
    <row r="132" spans="1:9">
      <c r="A132" s="146" t="s">
        <v>109</v>
      </c>
      <c r="B132" s="1" t="s">
        <v>111</v>
      </c>
      <c r="C132" s="1" t="s">
        <v>114</v>
      </c>
      <c r="D132" s="1" t="s">
        <v>133</v>
      </c>
      <c r="E132" s="1" t="s">
        <v>105</v>
      </c>
      <c r="F132" s="1" t="s">
        <v>103</v>
      </c>
      <c r="G132" s="1" t="s">
        <v>105</v>
      </c>
      <c r="H132" s="28">
        <v>11000</v>
      </c>
      <c r="I132" s="29">
        <v>45798</v>
      </c>
    </row>
    <row r="133" spans="1:9">
      <c r="A133" s="146" t="s">
        <v>109</v>
      </c>
      <c r="B133" s="1" t="s">
        <v>111</v>
      </c>
      <c r="C133" s="1" t="s">
        <v>114</v>
      </c>
      <c r="D133" s="1" t="s">
        <v>133</v>
      </c>
      <c r="E133" s="1" t="s">
        <v>105</v>
      </c>
      <c r="F133" s="1" t="s">
        <v>103</v>
      </c>
      <c r="G133" s="1" t="s">
        <v>105</v>
      </c>
      <c r="H133" s="28">
        <v>11134.39</v>
      </c>
      <c r="I133" s="29">
        <v>45791</v>
      </c>
    </row>
    <row r="134" spans="1:9">
      <c r="A134" s="146" t="s">
        <v>109</v>
      </c>
      <c r="B134" s="1" t="s">
        <v>134</v>
      </c>
      <c r="C134" s="1" t="s">
        <v>114</v>
      </c>
      <c r="D134" s="1" t="s">
        <v>133</v>
      </c>
      <c r="E134" s="1" t="s">
        <v>105</v>
      </c>
      <c r="F134" s="1" t="s">
        <v>105</v>
      </c>
      <c r="G134" s="1" t="s">
        <v>105</v>
      </c>
      <c r="H134" s="28">
        <v>11943.41</v>
      </c>
      <c r="I134" s="29">
        <v>45796</v>
      </c>
    </row>
    <row r="135" spans="1:9">
      <c r="A135" s="146" t="s">
        <v>109</v>
      </c>
      <c r="B135" s="1" t="s">
        <v>135</v>
      </c>
      <c r="C135" s="1" t="s">
        <v>114</v>
      </c>
      <c r="D135" s="1" t="s">
        <v>133</v>
      </c>
      <c r="E135" s="1" t="s">
        <v>105</v>
      </c>
      <c r="F135" s="1" t="s">
        <v>105</v>
      </c>
      <c r="G135" s="1" t="s">
        <v>105</v>
      </c>
      <c r="H135" s="28">
        <v>12243.75</v>
      </c>
      <c r="I135" s="29">
        <v>45779</v>
      </c>
    </row>
    <row r="136" spans="1:9">
      <c r="A136" s="146" t="s">
        <v>109</v>
      </c>
      <c r="B136" s="1" t="s">
        <v>134</v>
      </c>
      <c r="C136" s="1" t="s">
        <v>114</v>
      </c>
      <c r="D136" s="1" t="s">
        <v>133</v>
      </c>
      <c r="E136" s="1" t="s">
        <v>105</v>
      </c>
      <c r="F136" s="1" t="s">
        <v>105</v>
      </c>
      <c r="G136" s="1" t="s">
        <v>105</v>
      </c>
      <c r="H136" s="28">
        <v>12350</v>
      </c>
      <c r="I136" s="29">
        <v>45764</v>
      </c>
    </row>
    <row r="137" spans="1:9">
      <c r="A137" s="146" t="s">
        <v>109</v>
      </c>
      <c r="B137" s="1" t="s">
        <v>111</v>
      </c>
      <c r="C137" s="1" t="s">
        <v>114</v>
      </c>
      <c r="D137" s="1" t="s">
        <v>133</v>
      </c>
      <c r="E137" s="1" t="s">
        <v>105</v>
      </c>
      <c r="F137" s="1" t="s">
        <v>103</v>
      </c>
      <c r="G137" s="1" t="s">
        <v>105</v>
      </c>
      <c r="H137" s="28">
        <v>12842</v>
      </c>
      <c r="I137" s="29">
        <v>45819</v>
      </c>
    </row>
    <row r="138" spans="1:9">
      <c r="A138" s="146" t="s">
        <v>109</v>
      </c>
      <c r="B138" s="1" t="s">
        <v>116</v>
      </c>
      <c r="C138" s="1" t="s">
        <v>114</v>
      </c>
      <c r="D138" s="1" t="s">
        <v>133</v>
      </c>
      <c r="E138" s="1" t="s">
        <v>105</v>
      </c>
      <c r="F138" s="1" t="s">
        <v>105</v>
      </c>
      <c r="G138" s="1" t="s">
        <v>105</v>
      </c>
      <c r="H138" s="28">
        <v>13100</v>
      </c>
      <c r="I138" s="29">
        <v>45770</v>
      </c>
    </row>
    <row r="139" spans="1:9">
      <c r="A139" s="146" t="s">
        <v>109</v>
      </c>
      <c r="B139" s="1" t="s">
        <v>107</v>
      </c>
      <c r="C139" s="1" t="s">
        <v>120</v>
      </c>
      <c r="D139" s="1" t="s">
        <v>133</v>
      </c>
      <c r="E139" s="1" t="s">
        <v>103</v>
      </c>
      <c r="F139" s="1" t="s">
        <v>105</v>
      </c>
      <c r="G139" s="1" t="s">
        <v>105</v>
      </c>
      <c r="H139" s="28">
        <v>13465.5</v>
      </c>
      <c r="I139" s="29">
        <v>45746</v>
      </c>
    </row>
    <row r="140" spans="1:9">
      <c r="A140" s="146" t="s">
        <v>109</v>
      </c>
      <c r="B140" s="1" t="s">
        <v>111</v>
      </c>
      <c r="C140" s="1" t="s">
        <v>114</v>
      </c>
      <c r="D140" s="1" t="s">
        <v>133</v>
      </c>
      <c r="E140" s="1" t="s">
        <v>105</v>
      </c>
      <c r="F140" s="1" t="s">
        <v>103</v>
      </c>
      <c r="G140" s="1" t="s">
        <v>105</v>
      </c>
      <c r="H140" s="28">
        <v>13992.59</v>
      </c>
      <c r="I140" s="29">
        <v>45827</v>
      </c>
    </row>
    <row r="141" spans="1:9">
      <c r="A141" s="146" t="s">
        <v>109</v>
      </c>
      <c r="B141" s="1" t="s">
        <v>107</v>
      </c>
      <c r="C141" s="1" t="s">
        <v>120</v>
      </c>
      <c r="D141" s="1" t="s">
        <v>133</v>
      </c>
      <c r="E141" s="1" t="s">
        <v>103</v>
      </c>
      <c r="F141" s="1" t="s">
        <v>105</v>
      </c>
      <c r="G141" s="1" t="s">
        <v>105</v>
      </c>
      <c r="H141" s="28">
        <v>14250</v>
      </c>
      <c r="I141" s="29">
        <v>45749</v>
      </c>
    </row>
    <row r="142" spans="1:9">
      <c r="A142" s="146" t="s">
        <v>109</v>
      </c>
      <c r="B142" s="1" t="s">
        <v>107</v>
      </c>
      <c r="C142" s="1" t="s">
        <v>120</v>
      </c>
      <c r="D142" s="1" t="s">
        <v>133</v>
      </c>
      <c r="E142" s="1" t="s">
        <v>103</v>
      </c>
      <c r="F142" s="1" t="s">
        <v>105</v>
      </c>
      <c r="G142" s="1" t="s">
        <v>105</v>
      </c>
      <c r="H142" s="28">
        <v>14640.5</v>
      </c>
      <c r="I142" s="29">
        <v>45779</v>
      </c>
    </row>
    <row r="143" spans="1:9">
      <c r="A143" s="146" t="s">
        <v>109</v>
      </c>
      <c r="B143" s="1" t="s">
        <v>134</v>
      </c>
      <c r="C143" s="1" t="s">
        <v>114</v>
      </c>
      <c r="D143" s="1" t="s">
        <v>133</v>
      </c>
      <c r="E143" s="1" t="s">
        <v>105</v>
      </c>
      <c r="F143" s="1" t="s">
        <v>105</v>
      </c>
      <c r="G143" s="1" t="s">
        <v>105</v>
      </c>
      <c r="H143" s="28">
        <v>15033.09</v>
      </c>
      <c r="I143" s="29">
        <v>45751</v>
      </c>
    </row>
    <row r="144" spans="1:9">
      <c r="A144" s="146" t="s">
        <v>109</v>
      </c>
      <c r="B144" s="1" t="s">
        <v>107</v>
      </c>
      <c r="C144" s="1" t="s">
        <v>120</v>
      </c>
      <c r="D144" s="1" t="s">
        <v>133</v>
      </c>
      <c r="E144" s="1" t="s">
        <v>103</v>
      </c>
      <c r="F144" s="1" t="s">
        <v>105</v>
      </c>
      <c r="G144" s="1" t="s">
        <v>105</v>
      </c>
      <c r="H144" s="28">
        <v>17379.96</v>
      </c>
      <c r="I144" s="29">
        <v>45814</v>
      </c>
    </row>
    <row r="145" spans="1:9">
      <c r="A145" s="146" t="s">
        <v>109</v>
      </c>
      <c r="B145" s="1" t="s">
        <v>107</v>
      </c>
      <c r="C145" s="1" t="s">
        <v>120</v>
      </c>
      <c r="D145" s="1" t="s">
        <v>133</v>
      </c>
      <c r="E145" s="1" t="s">
        <v>103</v>
      </c>
      <c r="F145" s="1" t="s">
        <v>105</v>
      </c>
      <c r="G145" s="1" t="s">
        <v>105</v>
      </c>
      <c r="H145" s="28">
        <v>49926</v>
      </c>
      <c r="I145" s="29">
        <v>45733</v>
      </c>
    </row>
    <row r="146" spans="1:9">
      <c r="A146" s="146" t="s">
        <v>109</v>
      </c>
      <c r="B146" s="1" t="s">
        <v>107</v>
      </c>
      <c r="C146" s="1" t="s">
        <v>120</v>
      </c>
      <c r="D146" s="1" t="s">
        <v>133</v>
      </c>
      <c r="E146" s="1" t="s">
        <v>105</v>
      </c>
      <c r="F146" s="1" t="s">
        <v>105</v>
      </c>
      <c r="G146" s="1" t="s">
        <v>105</v>
      </c>
      <c r="H146" s="28">
        <v>49928</v>
      </c>
      <c r="I146" s="29">
        <v>45813</v>
      </c>
    </row>
    <row r="147" spans="1:9">
      <c r="A147" s="146" t="s">
        <v>109</v>
      </c>
      <c r="B147" s="1" t="s">
        <v>107</v>
      </c>
      <c r="C147" s="1" t="s">
        <v>120</v>
      </c>
      <c r="D147" s="1" t="s">
        <v>133</v>
      </c>
      <c r="E147" s="1" t="s">
        <v>103</v>
      </c>
      <c r="F147" s="1" t="s">
        <v>105</v>
      </c>
      <c r="G147" s="1" t="s">
        <v>105</v>
      </c>
      <c r="H147" s="28">
        <v>50050</v>
      </c>
      <c r="I147" s="29">
        <v>45730</v>
      </c>
    </row>
    <row r="148" spans="1:9">
      <c r="A148" s="146" t="s">
        <v>109</v>
      </c>
      <c r="B148" s="1" t="s">
        <v>107</v>
      </c>
      <c r="C148" s="1" t="s">
        <v>120</v>
      </c>
      <c r="D148" s="1" t="s">
        <v>133</v>
      </c>
      <c r="E148" s="1" t="s">
        <v>103</v>
      </c>
      <c r="F148" s="1" t="s">
        <v>105</v>
      </c>
      <c r="G148" s="1" t="s">
        <v>105</v>
      </c>
      <c r="H148" s="28">
        <v>51305</v>
      </c>
      <c r="I148" s="29">
        <v>45739</v>
      </c>
    </row>
    <row r="149" spans="1:9">
      <c r="A149" s="146" t="s">
        <v>100</v>
      </c>
      <c r="B149" s="1" t="s">
        <v>135</v>
      </c>
      <c r="C149" s="1" t="s">
        <v>114</v>
      </c>
      <c r="D149" s="1" t="s">
        <v>133</v>
      </c>
      <c r="E149" s="1" t="s">
        <v>103</v>
      </c>
      <c r="F149" s="1" t="s">
        <v>104</v>
      </c>
      <c r="G149" s="1" t="s">
        <v>105</v>
      </c>
      <c r="H149" s="28">
        <v>51380.1</v>
      </c>
      <c r="I149" s="29">
        <f ca="1">TODAY()+30</f>
        <v>46172</v>
      </c>
    </row>
    <row r="150" spans="1:9">
      <c r="A150" s="146" t="s">
        <v>109</v>
      </c>
      <c r="B150" s="1" t="s">
        <v>134</v>
      </c>
      <c r="C150" s="1" t="s">
        <v>114</v>
      </c>
      <c r="D150" s="1" t="s">
        <v>133</v>
      </c>
      <c r="E150" s="1" t="s">
        <v>105</v>
      </c>
      <c r="F150" s="1" t="s">
        <v>105</v>
      </c>
      <c r="G150" s="1" t="s">
        <v>105</v>
      </c>
      <c r="H150" s="28">
        <v>51417</v>
      </c>
      <c r="I150" s="29">
        <v>45741</v>
      </c>
    </row>
    <row r="151" spans="1:9">
      <c r="A151" s="146" t="s">
        <v>109</v>
      </c>
      <c r="B151" s="1" t="s">
        <v>107</v>
      </c>
      <c r="C151" s="1" t="s">
        <v>114</v>
      </c>
      <c r="D151" s="1" t="s">
        <v>133</v>
      </c>
      <c r="E151" s="1" t="s">
        <v>103</v>
      </c>
      <c r="F151" s="1" t="s">
        <v>105</v>
      </c>
      <c r="G151" s="1" t="s">
        <v>105</v>
      </c>
      <c r="H151" s="28">
        <v>51462</v>
      </c>
      <c r="I151" s="29">
        <v>45735</v>
      </c>
    </row>
    <row r="152" spans="1:9">
      <c r="A152" s="146" t="s">
        <v>100</v>
      </c>
      <c r="B152" s="1" t="s">
        <v>111</v>
      </c>
      <c r="C152" s="1" t="s">
        <v>114</v>
      </c>
      <c r="D152" s="1" t="s">
        <v>133</v>
      </c>
      <c r="E152" s="1" t="s">
        <v>103</v>
      </c>
      <c r="F152" s="1" t="s">
        <v>104</v>
      </c>
      <c r="G152" s="1" t="s">
        <v>105</v>
      </c>
      <c r="H152" s="28">
        <v>52703</v>
      </c>
      <c r="I152" s="29">
        <v>45719</v>
      </c>
    </row>
    <row r="153" spans="1:9">
      <c r="A153" s="146" t="s">
        <v>109</v>
      </c>
      <c r="B153" s="1" t="s">
        <v>107</v>
      </c>
      <c r="C153" s="1" t="s">
        <v>120</v>
      </c>
      <c r="D153" s="1" t="s">
        <v>133</v>
      </c>
      <c r="E153" s="1" t="s">
        <v>105</v>
      </c>
      <c r="F153" s="1" t="s">
        <v>105</v>
      </c>
      <c r="G153" s="1" t="s">
        <v>105</v>
      </c>
      <c r="H153" s="28">
        <v>55873.599999999999</v>
      </c>
      <c r="I153" s="29">
        <v>45764</v>
      </c>
    </row>
    <row r="154" spans="1:9">
      <c r="A154" s="146" t="s">
        <v>106</v>
      </c>
      <c r="B154" s="1" t="s">
        <v>101</v>
      </c>
      <c r="C154" s="1" t="s">
        <v>123</v>
      </c>
      <c r="D154" s="152" t="s">
        <v>25</v>
      </c>
      <c r="E154" s="1" t="s">
        <v>103</v>
      </c>
      <c r="F154" s="1" t="s">
        <v>104</v>
      </c>
      <c r="G154" s="1" t="s">
        <v>105</v>
      </c>
      <c r="H154" s="28">
        <v>10600</v>
      </c>
      <c r="I154" s="29">
        <v>45719</v>
      </c>
    </row>
    <row r="155" spans="1:9">
      <c r="A155" s="146" t="s">
        <v>100</v>
      </c>
      <c r="B155" s="1" t="s">
        <v>101</v>
      </c>
      <c r="C155" s="1" t="s">
        <v>123</v>
      </c>
      <c r="D155" s="152" t="s">
        <v>25</v>
      </c>
      <c r="E155" s="1" t="s">
        <v>103</v>
      </c>
      <c r="F155" s="1" t="s">
        <v>104</v>
      </c>
      <c r="G155" s="1" t="s">
        <v>103</v>
      </c>
      <c r="H155" s="28">
        <v>11299</v>
      </c>
      <c r="I155" s="29">
        <v>45801</v>
      </c>
    </row>
    <row r="156" spans="1:9">
      <c r="A156" s="146" t="s">
        <v>109</v>
      </c>
      <c r="B156" s="1" t="s">
        <v>101</v>
      </c>
      <c r="C156" s="1" t="s">
        <v>123</v>
      </c>
      <c r="D156" s="152" t="s">
        <v>25</v>
      </c>
      <c r="E156" s="1" t="s">
        <v>105</v>
      </c>
      <c r="F156" s="1" t="s">
        <v>105</v>
      </c>
      <c r="G156" s="1" t="s">
        <v>105</v>
      </c>
      <c r="H156" s="28">
        <v>12948</v>
      </c>
      <c r="I156" s="29">
        <v>45758</v>
      </c>
    </row>
    <row r="157" spans="1:9">
      <c r="A157" s="146" t="s">
        <v>109</v>
      </c>
      <c r="B157" s="1" t="s">
        <v>101</v>
      </c>
      <c r="C157" s="1" t="s">
        <v>123</v>
      </c>
      <c r="D157" s="152" t="s">
        <v>25</v>
      </c>
      <c r="E157" s="1" t="s">
        <v>105</v>
      </c>
      <c r="F157" s="1" t="s">
        <v>105</v>
      </c>
      <c r="G157" s="1" t="s">
        <v>105</v>
      </c>
      <c r="H157" s="28">
        <v>16074.5</v>
      </c>
      <c r="I157" s="29">
        <v>45823</v>
      </c>
    </row>
    <row r="158" spans="1:9">
      <c r="A158" s="146" t="s">
        <v>109</v>
      </c>
      <c r="B158" s="1" t="s">
        <v>107</v>
      </c>
      <c r="C158" s="1" t="s">
        <v>108</v>
      </c>
      <c r="D158" s="1" t="s">
        <v>136</v>
      </c>
      <c r="E158" s="1" t="s">
        <v>105</v>
      </c>
      <c r="F158" s="1" t="s">
        <v>105</v>
      </c>
      <c r="G158" s="1" t="s">
        <v>105</v>
      </c>
      <c r="H158" s="28">
        <v>8825</v>
      </c>
      <c r="I158" s="29">
        <v>45788</v>
      </c>
    </row>
    <row r="159" spans="1:9">
      <c r="A159" s="146" t="s">
        <v>109</v>
      </c>
      <c r="B159" s="1" t="s">
        <v>107</v>
      </c>
      <c r="C159" s="1" t="s">
        <v>108</v>
      </c>
      <c r="D159" s="1" t="s">
        <v>136</v>
      </c>
      <c r="E159" s="1" t="s">
        <v>103</v>
      </c>
      <c r="F159" s="1" t="s">
        <v>105</v>
      </c>
      <c r="G159" s="1" t="s">
        <v>105</v>
      </c>
      <c r="H159" s="28">
        <v>9420.5</v>
      </c>
      <c r="I159" s="29">
        <v>45816</v>
      </c>
    </row>
    <row r="160" spans="1:9">
      <c r="A160" s="146" t="s">
        <v>106</v>
      </c>
      <c r="B160" s="1" t="s">
        <v>101</v>
      </c>
      <c r="C160" s="1" t="s">
        <v>108</v>
      </c>
      <c r="D160" s="1" t="s">
        <v>136</v>
      </c>
      <c r="E160" s="1" t="s">
        <v>103</v>
      </c>
      <c r="F160" s="1" t="s">
        <v>104</v>
      </c>
      <c r="G160" s="1" t="s">
        <v>105</v>
      </c>
      <c r="H160" s="28">
        <v>10561.5</v>
      </c>
      <c r="I160" s="29">
        <v>45829</v>
      </c>
    </row>
    <row r="161" spans="1:11">
      <c r="A161" s="146" t="s">
        <v>109</v>
      </c>
      <c r="B161" s="1" t="s">
        <v>107</v>
      </c>
      <c r="C161" s="1" t="s">
        <v>108</v>
      </c>
      <c r="D161" s="1" t="s">
        <v>136</v>
      </c>
      <c r="E161" s="1" t="s">
        <v>103</v>
      </c>
      <c r="F161" s="1" t="s">
        <v>105</v>
      </c>
      <c r="G161" s="1" t="s">
        <v>105</v>
      </c>
      <c r="H161" s="28">
        <v>11500</v>
      </c>
      <c r="I161" s="29">
        <v>45717</v>
      </c>
    </row>
    <row r="162" spans="1:11">
      <c r="A162" s="146" t="s">
        <v>109</v>
      </c>
      <c r="B162" s="1" t="s">
        <v>101</v>
      </c>
      <c r="C162" s="1" t="s">
        <v>108</v>
      </c>
      <c r="D162" s="1" t="s">
        <v>136</v>
      </c>
      <c r="E162" s="1" t="s">
        <v>105</v>
      </c>
      <c r="F162" s="1" t="s">
        <v>105</v>
      </c>
      <c r="G162" s="1" t="s">
        <v>105</v>
      </c>
      <c r="H162" s="28">
        <v>11516.47</v>
      </c>
      <c r="I162" s="29">
        <v>45771</v>
      </c>
    </row>
    <row r="163" spans="1:11">
      <c r="A163" s="146" t="s">
        <v>109</v>
      </c>
      <c r="B163" s="1" t="s">
        <v>107</v>
      </c>
      <c r="C163" s="1" t="s">
        <v>108</v>
      </c>
      <c r="D163" s="1" t="s">
        <v>136</v>
      </c>
      <c r="E163" s="1" t="s">
        <v>105</v>
      </c>
      <c r="F163" s="1" t="s">
        <v>105</v>
      </c>
      <c r="G163" s="1" t="s">
        <v>105</v>
      </c>
      <c r="H163" s="28">
        <v>12000</v>
      </c>
      <c r="I163" s="29">
        <v>45810</v>
      </c>
    </row>
    <row r="164" spans="1:11">
      <c r="A164" s="146" t="s">
        <v>109</v>
      </c>
      <c r="B164" s="1" t="s">
        <v>111</v>
      </c>
      <c r="C164" s="1" t="s">
        <v>137</v>
      </c>
      <c r="D164" s="1" t="s">
        <v>136</v>
      </c>
      <c r="E164" s="1" t="s">
        <v>105</v>
      </c>
      <c r="F164" s="1" t="s">
        <v>103</v>
      </c>
      <c r="G164" s="1" t="s">
        <v>105</v>
      </c>
      <c r="H164" s="28">
        <v>12790</v>
      </c>
      <c r="I164" s="29">
        <v>45796</v>
      </c>
    </row>
    <row r="165" spans="1:11">
      <c r="A165" s="146" t="s">
        <v>100</v>
      </c>
      <c r="B165" s="152" t="s">
        <v>107</v>
      </c>
      <c r="C165" s="1" t="s">
        <v>137</v>
      </c>
      <c r="D165" s="1" t="s">
        <v>136</v>
      </c>
      <c r="E165" s="1" t="s">
        <v>103</v>
      </c>
      <c r="F165" s="1" t="s">
        <v>105</v>
      </c>
      <c r="G165" s="1" t="s">
        <v>105</v>
      </c>
      <c r="H165" s="28">
        <v>13200</v>
      </c>
      <c r="I165" s="29">
        <v>45689</v>
      </c>
      <c r="K165" s="30"/>
    </row>
    <row r="166" spans="1:11">
      <c r="A166" s="146" t="s">
        <v>109</v>
      </c>
      <c r="B166" s="1" t="s">
        <v>111</v>
      </c>
      <c r="C166" s="1" t="s">
        <v>108</v>
      </c>
      <c r="D166" s="1" t="s">
        <v>136</v>
      </c>
      <c r="E166" s="1" t="s">
        <v>105</v>
      </c>
      <c r="F166" s="1" t="s">
        <v>103</v>
      </c>
      <c r="G166" s="1" t="s">
        <v>105</v>
      </c>
      <c r="H166" s="28">
        <v>14145.5</v>
      </c>
      <c r="I166" s="29">
        <v>45737</v>
      </c>
    </row>
    <row r="167" spans="1:11">
      <c r="A167" s="146" t="s">
        <v>109</v>
      </c>
      <c r="B167" s="1" t="s">
        <v>111</v>
      </c>
      <c r="C167" s="1" t="s">
        <v>137</v>
      </c>
      <c r="D167" s="1" t="s">
        <v>136</v>
      </c>
      <c r="E167" s="1" t="s">
        <v>105</v>
      </c>
      <c r="F167" s="1" t="s">
        <v>103</v>
      </c>
      <c r="G167" s="1" t="s">
        <v>105</v>
      </c>
      <c r="H167" s="28">
        <v>18936.849999999999</v>
      </c>
      <c r="I167" s="29">
        <v>45714</v>
      </c>
    </row>
    <row r="168" spans="1:11">
      <c r="A168" s="146" t="s">
        <v>109</v>
      </c>
      <c r="B168" s="1" t="s">
        <v>101</v>
      </c>
      <c r="C168" s="1" t="s">
        <v>108</v>
      </c>
      <c r="D168" s="1" t="s">
        <v>136</v>
      </c>
      <c r="E168" s="1" t="s">
        <v>105</v>
      </c>
      <c r="F168" s="1" t="s">
        <v>105</v>
      </c>
      <c r="G168" s="1" t="s">
        <v>105</v>
      </c>
      <c r="H168" s="28">
        <v>20796</v>
      </c>
      <c r="I168" s="29">
        <v>45800</v>
      </c>
    </row>
    <row r="169" spans="1:11">
      <c r="A169" s="146" t="s">
        <v>109</v>
      </c>
      <c r="B169" s="1" t="s">
        <v>101</v>
      </c>
      <c r="C169" s="1" t="s">
        <v>108</v>
      </c>
      <c r="D169" s="1" t="s">
        <v>136</v>
      </c>
      <c r="E169" s="1" t="s">
        <v>105</v>
      </c>
      <c r="F169" s="1" t="s">
        <v>105</v>
      </c>
      <c r="G169" s="1" t="s">
        <v>105</v>
      </c>
      <c r="H169" s="28">
        <v>49687</v>
      </c>
      <c r="I169" s="29">
        <v>45795</v>
      </c>
    </row>
    <row r="170" spans="1:11">
      <c r="A170" s="146" t="s">
        <v>109</v>
      </c>
      <c r="B170" s="31" t="s">
        <v>107</v>
      </c>
      <c r="C170" s="31" t="s">
        <v>108</v>
      </c>
      <c r="D170" s="31" t="s">
        <v>136</v>
      </c>
      <c r="E170" s="31" t="s">
        <v>103</v>
      </c>
      <c r="F170" s="31" t="s">
        <v>105</v>
      </c>
      <c r="G170" s="31" t="s">
        <v>105</v>
      </c>
      <c r="H170" s="32">
        <v>49918</v>
      </c>
      <c r="I170" s="29">
        <v>45749</v>
      </c>
    </row>
  </sheetData>
  <autoFilter ref="A1:O170" xr:uid="{0117BA97-C89B-42B9-9C83-3BA6B4E513FA}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6841-4FC8-4B8B-8005-7267D17B3C2A}">
  <sheetPr codeName="Sheet4">
    <tabColor theme="9" tint="-0.249977111117893"/>
  </sheetPr>
  <dimension ref="A1:AB2000"/>
  <sheetViews>
    <sheetView zoomScaleNormal="100" workbookViewId="0">
      <selection activeCell="H13" sqref="H13"/>
    </sheetView>
  </sheetViews>
  <sheetFormatPr defaultColWidth="9.140625" defaultRowHeight="17.25" customHeight="1"/>
  <cols>
    <col min="1" max="1" width="15" style="125" customWidth="1"/>
    <col min="2" max="2" width="21.140625" style="125" bestFit="1" customWidth="1"/>
    <col min="3" max="3" width="19.140625" style="125" bestFit="1" customWidth="1"/>
    <col min="4" max="4" width="18.28515625" style="150" bestFit="1" customWidth="1"/>
    <col min="5" max="5" width="13.28515625" style="125" customWidth="1"/>
    <col min="6" max="6" width="2.5703125" style="125" customWidth="1"/>
    <col min="7" max="7" width="4.7109375" style="125" customWidth="1"/>
    <col min="8" max="8" width="17.5703125" style="125" customWidth="1"/>
    <col min="9" max="9" width="18.42578125" style="125" customWidth="1"/>
    <col min="10" max="10" width="12.5703125" style="125" bestFit="1" customWidth="1"/>
    <col min="11" max="14" width="9.140625" style="125"/>
    <col min="15" max="15" width="13.140625" style="125" customWidth="1"/>
    <col min="16" max="16384" width="9.140625" style="125"/>
  </cols>
  <sheetData>
    <row r="1" spans="1:10" ht="17.25" customHeight="1" thickBot="1">
      <c r="A1" s="133" t="s">
        <v>138</v>
      </c>
      <c r="B1" s="133" t="s">
        <v>139</v>
      </c>
      <c r="C1" s="133" t="s">
        <v>140</v>
      </c>
      <c r="D1" s="148" t="s">
        <v>141</v>
      </c>
      <c r="E1" s="133" t="s">
        <v>142</v>
      </c>
    </row>
    <row r="2" spans="1:10" ht="17.25" customHeight="1">
      <c r="A2" s="134" t="s">
        <v>143</v>
      </c>
      <c r="B2" s="135" t="s">
        <v>144</v>
      </c>
      <c r="C2" s="135" t="s">
        <v>145</v>
      </c>
      <c r="D2" s="149">
        <v>300</v>
      </c>
      <c r="E2" s="136">
        <v>45702</v>
      </c>
      <c r="J2" s="126" t="s">
        <v>146</v>
      </c>
    </row>
    <row r="3" spans="1:10" ht="17.25" customHeight="1">
      <c r="A3" s="137" t="s">
        <v>143</v>
      </c>
      <c r="B3" s="125" t="s">
        <v>147</v>
      </c>
      <c r="C3" s="125" t="s">
        <v>145</v>
      </c>
      <c r="D3" s="150">
        <v>800</v>
      </c>
      <c r="E3" s="138">
        <v>45706</v>
      </c>
      <c r="G3" s="139">
        <v>1</v>
      </c>
      <c r="H3" s="140"/>
      <c r="I3" s="140"/>
      <c r="J3" s="141"/>
    </row>
    <row r="4" spans="1:10" ht="17.25" customHeight="1">
      <c r="A4" s="137" t="s">
        <v>143</v>
      </c>
      <c r="B4" s="125" t="s">
        <v>148</v>
      </c>
      <c r="C4" s="125" t="s">
        <v>145</v>
      </c>
      <c r="D4" s="150">
        <v>345</v>
      </c>
      <c r="E4" s="138">
        <v>45709</v>
      </c>
      <c r="G4" s="140">
        <v>2</v>
      </c>
      <c r="H4" s="140"/>
      <c r="I4" s="140"/>
      <c r="J4" s="142"/>
    </row>
    <row r="5" spans="1:10" ht="17.25" customHeight="1">
      <c r="A5" s="137" t="s">
        <v>143</v>
      </c>
      <c r="B5" s="125" t="s">
        <v>148</v>
      </c>
      <c r="C5" s="125" t="s">
        <v>145</v>
      </c>
      <c r="D5" s="150">
        <v>3200</v>
      </c>
      <c r="E5" s="138">
        <v>45730</v>
      </c>
      <c r="G5" s="140">
        <v>3</v>
      </c>
      <c r="H5" s="126"/>
      <c r="I5" s="126"/>
      <c r="J5" s="142"/>
    </row>
    <row r="6" spans="1:10" ht="17.25" customHeight="1">
      <c r="A6" s="137" t="s">
        <v>143</v>
      </c>
      <c r="B6" s="125" t="s">
        <v>144</v>
      </c>
      <c r="C6" s="125" t="s">
        <v>145</v>
      </c>
      <c r="D6" s="150">
        <v>4900</v>
      </c>
      <c r="E6" s="138">
        <v>45740</v>
      </c>
      <c r="G6" s="140" t="s">
        <v>149</v>
      </c>
      <c r="H6" s="140"/>
      <c r="I6" s="140"/>
      <c r="J6" s="142"/>
    </row>
    <row r="7" spans="1:10" ht="17.25" customHeight="1">
      <c r="A7" s="137" t="s">
        <v>143</v>
      </c>
      <c r="B7" s="125" t="s">
        <v>147</v>
      </c>
      <c r="C7" s="125" t="s">
        <v>145</v>
      </c>
      <c r="D7" s="151">
        <v>670</v>
      </c>
      <c r="E7" s="138">
        <v>45758</v>
      </c>
      <c r="G7" s="140" t="s">
        <v>150</v>
      </c>
      <c r="H7" s="140"/>
      <c r="I7" s="140"/>
      <c r="J7" s="142"/>
    </row>
    <row r="8" spans="1:10" ht="17.25" customHeight="1">
      <c r="A8" s="143" t="s">
        <v>143</v>
      </c>
      <c r="B8" s="144" t="s">
        <v>147</v>
      </c>
      <c r="C8" s="144" t="s">
        <v>145</v>
      </c>
      <c r="D8" s="150">
        <v>40000</v>
      </c>
      <c r="E8" s="138">
        <v>45859</v>
      </c>
      <c r="G8" s="140" t="s">
        <v>151</v>
      </c>
      <c r="H8" s="140"/>
      <c r="I8" s="140"/>
      <c r="J8" s="142"/>
    </row>
    <row r="9" spans="1:10" ht="17.25" customHeight="1">
      <c r="A9" s="143" t="s">
        <v>143</v>
      </c>
      <c r="B9" s="125" t="s">
        <v>148</v>
      </c>
      <c r="C9" s="144" t="s">
        <v>145</v>
      </c>
      <c r="D9" s="150">
        <v>52500</v>
      </c>
      <c r="E9" s="138">
        <v>45860</v>
      </c>
      <c r="G9" s="140">
        <v>5</v>
      </c>
      <c r="H9" s="140"/>
      <c r="I9" s="140"/>
      <c r="J9" s="142"/>
    </row>
    <row r="10" spans="1:10" ht="17.25" customHeight="1">
      <c r="A10" s="137" t="s">
        <v>143</v>
      </c>
      <c r="B10" s="125" t="s">
        <v>144</v>
      </c>
      <c r="C10" s="125" t="s">
        <v>145</v>
      </c>
      <c r="D10" s="151">
        <v>15800</v>
      </c>
      <c r="E10" s="138">
        <v>45939</v>
      </c>
      <c r="G10" s="140" t="s">
        <v>152</v>
      </c>
      <c r="H10" s="140"/>
      <c r="I10" s="140"/>
      <c r="J10" s="142"/>
    </row>
    <row r="11" spans="1:10" ht="17.25" customHeight="1">
      <c r="A11" s="137" t="s">
        <v>143</v>
      </c>
      <c r="B11" s="125" t="s">
        <v>153</v>
      </c>
      <c r="C11" s="125" t="s">
        <v>154</v>
      </c>
      <c r="D11" s="150">
        <v>800</v>
      </c>
      <c r="E11" s="138">
        <v>45682</v>
      </c>
      <c r="G11" s="140" t="s">
        <v>155</v>
      </c>
      <c r="H11" s="140"/>
      <c r="I11" s="140"/>
      <c r="J11" s="142"/>
    </row>
    <row r="12" spans="1:10" ht="17.25" customHeight="1">
      <c r="A12" s="137" t="s">
        <v>156</v>
      </c>
      <c r="B12" s="125" t="s">
        <v>157</v>
      </c>
      <c r="C12" s="125" t="s">
        <v>154</v>
      </c>
      <c r="D12" s="150">
        <v>200</v>
      </c>
      <c r="E12" s="138">
        <v>45726</v>
      </c>
      <c r="G12" s="140" t="s">
        <v>158</v>
      </c>
      <c r="H12" s="140"/>
      <c r="I12" s="140"/>
      <c r="J12" s="142"/>
    </row>
    <row r="13" spans="1:10" ht="17.25" customHeight="1">
      <c r="A13" s="137" t="s">
        <v>143</v>
      </c>
      <c r="B13" s="125" t="s">
        <v>153</v>
      </c>
      <c r="C13" s="125" t="s">
        <v>154</v>
      </c>
      <c r="D13" s="150">
        <v>800</v>
      </c>
      <c r="E13" s="138">
        <v>45753</v>
      </c>
      <c r="G13" s="140">
        <v>7</v>
      </c>
      <c r="H13" s="140"/>
      <c r="I13" s="140"/>
      <c r="J13" s="142"/>
    </row>
    <row r="14" spans="1:10" ht="17.25" customHeight="1">
      <c r="A14" s="137" t="s">
        <v>143</v>
      </c>
      <c r="B14" s="125" t="s">
        <v>153</v>
      </c>
      <c r="C14" s="125" t="s">
        <v>154</v>
      </c>
      <c r="D14" s="150">
        <v>4900</v>
      </c>
      <c r="E14" s="138">
        <v>45759</v>
      </c>
      <c r="G14" s="140">
        <v>8</v>
      </c>
      <c r="H14" s="140"/>
      <c r="I14" s="140"/>
      <c r="J14" s="142"/>
    </row>
    <row r="15" spans="1:10" ht="17.25" customHeight="1">
      <c r="A15" s="137" t="s">
        <v>156</v>
      </c>
      <c r="B15" s="125" t="s">
        <v>157</v>
      </c>
      <c r="C15" s="144" t="s">
        <v>154</v>
      </c>
      <c r="D15" s="150">
        <v>42500</v>
      </c>
      <c r="E15" s="138">
        <v>45853</v>
      </c>
      <c r="G15" s="140">
        <v>9</v>
      </c>
      <c r="H15" s="140"/>
      <c r="I15" s="140"/>
      <c r="J15" s="142"/>
    </row>
    <row r="16" spans="1:10" ht="17.25" customHeight="1">
      <c r="A16" s="137" t="s">
        <v>156</v>
      </c>
      <c r="B16" s="125" t="s">
        <v>159</v>
      </c>
      <c r="C16" s="144" t="s">
        <v>154</v>
      </c>
      <c r="D16" s="150">
        <v>52500</v>
      </c>
      <c r="E16" s="138">
        <v>45854</v>
      </c>
      <c r="G16" s="140">
        <v>10</v>
      </c>
      <c r="H16" s="140"/>
      <c r="I16" s="140"/>
      <c r="J16" s="142"/>
    </row>
    <row r="17" spans="1:10" ht="17.25" customHeight="1">
      <c r="A17" s="137" t="s">
        <v>156</v>
      </c>
      <c r="B17" s="125" t="s">
        <v>159</v>
      </c>
      <c r="C17" s="125" t="s">
        <v>154</v>
      </c>
      <c r="D17" s="151">
        <v>450</v>
      </c>
      <c r="E17" s="138">
        <v>45993</v>
      </c>
      <c r="G17" s="140">
        <v>11</v>
      </c>
      <c r="H17" s="140"/>
      <c r="I17" s="140"/>
      <c r="J17" s="142"/>
    </row>
    <row r="18" spans="1:10" ht="17.25" customHeight="1">
      <c r="A18" s="137" t="s">
        <v>143</v>
      </c>
      <c r="B18" s="125" t="s">
        <v>160</v>
      </c>
      <c r="C18" s="125" t="s">
        <v>161</v>
      </c>
      <c r="D18" s="150">
        <v>7800</v>
      </c>
      <c r="E18" s="138">
        <v>45686</v>
      </c>
      <c r="G18" s="140">
        <v>12</v>
      </c>
      <c r="H18" s="140"/>
      <c r="I18" s="140"/>
      <c r="J18" s="142"/>
    </row>
    <row r="19" spans="1:10" ht="17.25" customHeight="1">
      <c r="A19" s="137" t="s">
        <v>162</v>
      </c>
      <c r="B19" s="125" t="s">
        <v>163</v>
      </c>
      <c r="C19" s="125" t="s">
        <v>161</v>
      </c>
      <c r="D19" s="150">
        <v>2890</v>
      </c>
      <c r="E19" s="138">
        <v>45699</v>
      </c>
    </row>
    <row r="20" spans="1:10" ht="17.25" customHeight="1">
      <c r="A20" s="137" t="s">
        <v>143</v>
      </c>
      <c r="B20" s="125" t="s">
        <v>157</v>
      </c>
      <c r="C20" s="125" t="s">
        <v>161</v>
      </c>
      <c r="D20" s="150">
        <v>3490</v>
      </c>
      <c r="E20" s="138">
        <v>45708</v>
      </c>
    </row>
    <row r="21" spans="1:10" ht="17.25" customHeight="1">
      <c r="A21" s="137" t="s">
        <v>143</v>
      </c>
      <c r="B21" s="125" t="s">
        <v>164</v>
      </c>
      <c r="C21" s="125" t="s">
        <v>161</v>
      </c>
      <c r="D21" s="150">
        <v>300</v>
      </c>
      <c r="E21" s="138">
        <v>45746</v>
      </c>
    </row>
    <row r="22" spans="1:10" ht="17.25" customHeight="1">
      <c r="A22" s="137" t="s">
        <v>162</v>
      </c>
      <c r="B22" s="125" t="s">
        <v>159</v>
      </c>
      <c r="C22" s="144" t="s">
        <v>161</v>
      </c>
      <c r="D22" s="150">
        <v>60000</v>
      </c>
      <c r="E22" s="138">
        <v>45855</v>
      </c>
    </row>
    <row r="23" spans="1:10" ht="17.25" customHeight="1">
      <c r="A23" s="137" t="s">
        <v>143</v>
      </c>
      <c r="B23" s="125" t="s">
        <v>160</v>
      </c>
      <c r="C23" s="144" t="s">
        <v>161</v>
      </c>
      <c r="D23" s="150">
        <v>35000</v>
      </c>
      <c r="E23" s="138">
        <v>45856</v>
      </c>
    </row>
    <row r="24" spans="1:10" ht="17.25" customHeight="1">
      <c r="A24" s="137" t="s">
        <v>143</v>
      </c>
      <c r="B24" s="125" t="s">
        <v>164</v>
      </c>
      <c r="C24" s="144" t="s">
        <v>161</v>
      </c>
      <c r="D24" s="150">
        <v>40000</v>
      </c>
      <c r="E24" s="138">
        <v>45864</v>
      </c>
    </row>
    <row r="25" spans="1:10" ht="17.25" customHeight="1">
      <c r="A25" s="143" t="s">
        <v>162</v>
      </c>
      <c r="B25" s="125" t="s">
        <v>160</v>
      </c>
      <c r="C25" s="144" t="s">
        <v>165</v>
      </c>
      <c r="D25" s="150">
        <v>40000</v>
      </c>
      <c r="E25" s="138">
        <v>45682</v>
      </c>
    </row>
    <row r="26" spans="1:10" ht="17.25" customHeight="1">
      <c r="A26" s="143" t="s">
        <v>162</v>
      </c>
      <c r="B26" s="125" t="s">
        <v>160</v>
      </c>
      <c r="C26" s="144" t="s">
        <v>165</v>
      </c>
      <c r="D26" s="150">
        <v>47500</v>
      </c>
      <c r="E26" s="138">
        <v>45684</v>
      </c>
    </row>
    <row r="27" spans="1:10" ht="17.25" customHeight="1">
      <c r="A27" s="137" t="s">
        <v>143</v>
      </c>
      <c r="B27" s="125" t="s">
        <v>166</v>
      </c>
      <c r="C27" s="125" t="s">
        <v>167</v>
      </c>
      <c r="D27" s="151">
        <v>6700</v>
      </c>
      <c r="E27" s="138">
        <v>45658</v>
      </c>
    </row>
    <row r="28" spans="1:10" ht="17.25" customHeight="1">
      <c r="A28" s="137" t="s">
        <v>143</v>
      </c>
      <c r="B28" s="125" t="s">
        <v>168</v>
      </c>
      <c r="C28" s="125" t="s">
        <v>167</v>
      </c>
      <c r="D28" s="150">
        <v>7800</v>
      </c>
      <c r="E28" s="138">
        <v>45717</v>
      </c>
    </row>
    <row r="29" spans="1:10" ht="17.25" customHeight="1">
      <c r="A29" s="137" t="s">
        <v>143</v>
      </c>
      <c r="B29" s="125" t="s">
        <v>159</v>
      </c>
      <c r="C29" s="125" t="s">
        <v>167</v>
      </c>
      <c r="D29" s="150">
        <v>555</v>
      </c>
      <c r="E29" s="138">
        <v>45750</v>
      </c>
    </row>
    <row r="30" spans="1:10" ht="17.25" customHeight="1">
      <c r="A30" s="143" t="s">
        <v>169</v>
      </c>
      <c r="B30" s="125" t="s">
        <v>168</v>
      </c>
      <c r="C30" s="144" t="s">
        <v>167</v>
      </c>
      <c r="D30" s="150">
        <v>37500</v>
      </c>
      <c r="E30" s="138">
        <v>45861</v>
      </c>
    </row>
    <row r="31" spans="1:10" ht="17.25" customHeight="1">
      <c r="A31" s="144" t="s">
        <v>169</v>
      </c>
      <c r="B31" s="125" t="s">
        <v>168</v>
      </c>
      <c r="C31" s="144" t="s">
        <v>167</v>
      </c>
      <c r="D31" s="150">
        <v>57500</v>
      </c>
      <c r="E31" s="138">
        <v>45862</v>
      </c>
    </row>
    <row r="32" spans="1:10" ht="17.25" customHeight="1">
      <c r="A32" s="125" t="s">
        <v>156</v>
      </c>
      <c r="B32" s="125" t="s">
        <v>170</v>
      </c>
      <c r="C32" s="144" t="s">
        <v>171</v>
      </c>
      <c r="D32" s="150">
        <v>42500</v>
      </c>
      <c r="E32" s="138">
        <v>45683</v>
      </c>
    </row>
    <row r="33" spans="1:5" ht="17.25" customHeight="1">
      <c r="A33" s="125" t="s">
        <v>156</v>
      </c>
      <c r="B33" s="125" t="s">
        <v>172</v>
      </c>
      <c r="C33" s="144" t="s">
        <v>171</v>
      </c>
      <c r="D33" s="150">
        <v>50000</v>
      </c>
      <c r="E33" s="138">
        <v>45685</v>
      </c>
    </row>
    <row r="34" spans="1:5" ht="17.25" customHeight="1">
      <c r="A34" s="125" t="s">
        <v>162</v>
      </c>
      <c r="B34" s="125" t="s">
        <v>170</v>
      </c>
      <c r="C34" s="125" t="s">
        <v>171</v>
      </c>
      <c r="D34" s="150">
        <v>350</v>
      </c>
      <c r="E34" s="138">
        <v>45735</v>
      </c>
    </row>
    <row r="35" spans="1:5" ht="17.25" customHeight="1">
      <c r="A35" s="125" t="s">
        <v>156</v>
      </c>
      <c r="B35" s="125" t="s">
        <v>172</v>
      </c>
      <c r="C35" s="125" t="s">
        <v>171</v>
      </c>
      <c r="D35" s="150">
        <v>1000</v>
      </c>
      <c r="E35" s="138">
        <v>45744</v>
      </c>
    </row>
    <row r="36" spans="1:5" ht="17.25" customHeight="1">
      <c r="A36" s="125" t="s">
        <v>156</v>
      </c>
      <c r="B36" s="125" t="s">
        <v>172</v>
      </c>
      <c r="C36" s="144" t="s">
        <v>171</v>
      </c>
      <c r="D36" s="150">
        <v>57500</v>
      </c>
      <c r="E36" s="138">
        <v>45852</v>
      </c>
    </row>
    <row r="37" spans="1:5" ht="17.25" customHeight="1">
      <c r="A37" s="125" t="s">
        <v>156</v>
      </c>
      <c r="B37" s="125" t="s">
        <v>170</v>
      </c>
      <c r="C37" s="144" t="s">
        <v>171</v>
      </c>
      <c r="D37" s="150">
        <v>22500</v>
      </c>
      <c r="E37" s="138">
        <v>45862</v>
      </c>
    </row>
    <row r="38" spans="1:5" ht="17.25" customHeight="1">
      <c r="A38" s="125" t="s">
        <v>169</v>
      </c>
      <c r="B38" s="125" t="s">
        <v>173</v>
      </c>
      <c r="C38" s="125" t="s">
        <v>174</v>
      </c>
      <c r="D38" s="150">
        <v>555</v>
      </c>
      <c r="E38" s="138">
        <v>45700</v>
      </c>
    </row>
    <row r="39" spans="1:5" ht="17.25" customHeight="1">
      <c r="A39" s="143" t="s">
        <v>162</v>
      </c>
      <c r="B39" s="125" t="s">
        <v>175</v>
      </c>
      <c r="C39" s="125" t="s">
        <v>174</v>
      </c>
      <c r="D39" s="150">
        <v>100</v>
      </c>
      <c r="E39" s="138">
        <v>45700</v>
      </c>
    </row>
    <row r="40" spans="1:5" ht="17.25" customHeight="1">
      <c r="A40" s="137" t="s">
        <v>143</v>
      </c>
      <c r="B40" s="125" t="s">
        <v>176</v>
      </c>
      <c r="C40" s="125" t="s">
        <v>174</v>
      </c>
      <c r="D40" s="151">
        <v>100</v>
      </c>
      <c r="E40" s="138">
        <v>45728</v>
      </c>
    </row>
    <row r="41" spans="1:5" ht="17.25" customHeight="1">
      <c r="A41" s="137" t="s">
        <v>143</v>
      </c>
      <c r="B41" s="125" t="s">
        <v>177</v>
      </c>
      <c r="C41" s="125" t="s">
        <v>174</v>
      </c>
      <c r="D41" s="151">
        <v>775</v>
      </c>
      <c r="E41" s="138">
        <v>45739</v>
      </c>
    </row>
    <row r="42" spans="1:5" ht="17.25" customHeight="1">
      <c r="A42" s="137" t="s">
        <v>169</v>
      </c>
      <c r="B42" s="125" t="s">
        <v>178</v>
      </c>
      <c r="C42" s="125" t="s">
        <v>174</v>
      </c>
      <c r="D42" s="150">
        <v>6700</v>
      </c>
      <c r="E42" s="138">
        <v>45762</v>
      </c>
    </row>
    <row r="43" spans="1:5" ht="17.25" customHeight="1">
      <c r="A43" s="143" t="s">
        <v>162</v>
      </c>
      <c r="B43" s="125" t="s">
        <v>175</v>
      </c>
      <c r="C43" s="144" t="s">
        <v>174</v>
      </c>
      <c r="D43" s="150">
        <v>45000</v>
      </c>
      <c r="E43" s="138">
        <v>45857</v>
      </c>
    </row>
    <row r="44" spans="1:5" ht="17.25" customHeight="1">
      <c r="A44" s="137" t="s">
        <v>169</v>
      </c>
      <c r="B44" s="125" t="s">
        <v>173</v>
      </c>
      <c r="C44" s="144" t="s">
        <v>174</v>
      </c>
      <c r="D44" s="150">
        <v>22500</v>
      </c>
      <c r="E44" s="138">
        <v>45858</v>
      </c>
    </row>
    <row r="45" spans="1:5" ht="17.25" customHeight="1">
      <c r="A45" s="125" t="s">
        <v>143</v>
      </c>
      <c r="B45" s="125" t="s">
        <v>166</v>
      </c>
      <c r="C45" s="144" t="s">
        <v>174</v>
      </c>
      <c r="D45" s="150">
        <v>22500</v>
      </c>
      <c r="E45" s="138">
        <v>45863</v>
      </c>
    </row>
    <row r="46" spans="1:5" ht="17.25" customHeight="1">
      <c r="A46" s="125" t="s">
        <v>169</v>
      </c>
      <c r="B46" s="125" t="s">
        <v>173</v>
      </c>
      <c r="C46" s="144" t="s">
        <v>174</v>
      </c>
      <c r="D46" s="150">
        <v>60000</v>
      </c>
      <c r="E46" s="138">
        <v>45865</v>
      </c>
    </row>
    <row r="47" spans="1:5" ht="17.25" customHeight="1">
      <c r="A47" s="137" t="s">
        <v>143</v>
      </c>
      <c r="B47" s="125" t="s">
        <v>166</v>
      </c>
      <c r="C47" s="125" t="s">
        <v>174</v>
      </c>
      <c r="D47" s="151">
        <v>3490</v>
      </c>
      <c r="E47" s="138">
        <v>46009</v>
      </c>
    </row>
    <row r="48" spans="1:5" ht="17.25" customHeight="1">
      <c r="A48" s="137" t="s">
        <v>143</v>
      </c>
      <c r="B48" s="125" t="s">
        <v>159</v>
      </c>
      <c r="C48" s="144" t="s">
        <v>179</v>
      </c>
      <c r="D48" s="150">
        <v>50000</v>
      </c>
      <c r="E48" s="138">
        <v>45690</v>
      </c>
    </row>
    <row r="49" spans="1:5" ht="17.25" customHeight="1">
      <c r="A49" s="137" t="s">
        <v>143</v>
      </c>
      <c r="B49" s="125" t="s">
        <v>159</v>
      </c>
      <c r="C49" s="144" t="s">
        <v>179</v>
      </c>
      <c r="D49" s="150">
        <v>40000</v>
      </c>
      <c r="E49" s="138">
        <v>45837</v>
      </c>
    </row>
    <row r="50" spans="1:5" ht="17.25" customHeight="1">
      <c r="A50" s="137" t="s">
        <v>143</v>
      </c>
      <c r="B50" s="125" t="s">
        <v>159</v>
      </c>
      <c r="C50" s="144" t="s">
        <v>179</v>
      </c>
      <c r="D50" s="151">
        <v>65000</v>
      </c>
      <c r="E50" s="138">
        <v>45838</v>
      </c>
    </row>
    <row r="51" spans="1:5" ht="17.25" customHeight="1">
      <c r="A51" s="144" t="s">
        <v>169</v>
      </c>
      <c r="B51" s="125" t="s">
        <v>159</v>
      </c>
      <c r="C51" s="144" t="s">
        <v>179</v>
      </c>
      <c r="D51" s="151">
        <v>37500</v>
      </c>
      <c r="E51" s="138">
        <v>45863</v>
      </c>
    </row>
    <row r="52" spans="1:5" ht="17.25" customHeight="1">
      <c r="D52" s="151"/>
    </row>
    <row r="1999" spans="1:28" ht="17.25" customHeight="1">
      <c r="G1999" s="125" t="s">
        <v>180</v>
      </c>
      <c r="H1999" s="125" t="s">
        <v>180</v>
      </c>
      <c r="J1999" s="125" t="s">
        <v>180</v>
      </c>
    </row>
    <row r="2000" spans="1:28" ht="17.25" customHeight="1">
      <c r="A2000" s="125" t="s">
        <v>180</v>
      </c>
      <c r="B2000" s="125" t="s">
        <v>180</v>
      </c>
      <c r="C2000" s="125" t="s">
        <v>180</v>
      </c>
      <c r="D2000" s="150" t="s">
        <v>180</v>
      </c>
      <c r="E2000" s="125" t="s">
        <v>180</v>
      </c>
      <c r="F2000" s="125" t="s">
        <v>180</v>
      </c>
      <c r="K2000" s="125" t="s">
        <v>180</v>
      </c>
      <c r="L2000" s="125" t="s">
        <v>180</v>
      </c>
      <c r="M2000" s="125" t="s">
        <v>180</v>
      </c>
      <c r="N2000" s="125" t="s">
        <v>180</v>
      </c>
      <c r="O2000" s="125" t="s">
        <v>180</v>
      </c>
      <c r="P2000" s="125" t="s">
        <v>180</v>
      </c>
      <c r="Q2000" s="125" t="s">
        <v>180</v>
      </c>
      <c r="R2000" s="125" t="s">
        <v>180</v>
      </c>
      <c r="S2000" s="125" t="s">
        <v>180</v>
      </c>
      <c r="T2000" s="125" t="s">
        <v>180</v>
      </c>
      <c r="U2000" s="125" t="s">
        <v>180</v>
      </c>
      <c r="V2000" s="125" t="s">
        <v>180</v>
      </c>
      <c r="W2000" s="125" t="s">
        <v>180</v>
      </c>
      <c r="X2000" s="125" t="s">
        <v>180</v>
      </c>
      <c r="Y2000" s="125" t="s">
        <v>180</v>
      </c>
      <c r="Z2000" s="125" t="s">
        <v>180</v>
      </c>
      <c r="AA2000" s="125" t="s">
        <v>180</v>
      </c>
      <c r="AB2000" s="125" t="s">
        <v>180</v>
      </c>
    </row>
  </sheetData>
  <protectedRanges>
    <protectedRange sqref="D29:D51" name="company b"/>
  </protectedRanges>
  <autoFilter ref="A1:E51" xr:uid="{2CB388B1-8549-4B6B-92E9-E95B7B4F32AC}">
    <sortState xmlns:xlrd2="http://schemas.microsoft.com/office/spreadsheetml/2017/richdata2" ref="A2:E51">
      <sortCondition ref="C1:C51"/>
    </sortState>
  </autoFilter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715-225D-47C3-A550-47734B8E4622}">
  <sheetPr codeName="Sheet5">
    <tabColor theme="9" tint="-0.249977111117893"/>
  </sheetPr>
  <dimension ref="A1:N152"/>
  <sheetViews>
    <sheetView topLeftCell="A57" zoomScaleNormal="100" workbookViewId="0">
      <selection sqref="A1:A1048576"/>
    </sheetView>
  </sheetViews>
  <sheetFormatPr defaultColWidth="9.140625" defaultRowHeight="12.6"/>
  <cols>
    <col min="1" max="1" width="10.7109375" style="7" bestFit="1" customWidth="1"/>
    <col min="2" max="2" width="17.140625" style="7" bestFit="1" customWidth="1"/>
    <col min="3" max="3" width="22" style="7" bestFit="1" customWidth="1"/>
    <col min="4" max="4" width="10.85546875" style="7" bestFit="1" customWidth="1"/>
    <col min="5" max="5" width="10.7109375" style="7" customWidth="1"/>
    <col min="6" max="6" width="13.42578125" style="7" customWidth="1"/>
    <col min="7" max="7" width="11.5703125" style="7" bestFit="1" customWidth="1"/>
    <col min="8" max="8" width="9.140625" style="11" bestFit="1" customWidth="1"/>
    <col min="9" max="9" width="2.28515625" style="11" customWidth="1"/>
    <col min="10" max="10" width="3.42578125" style="7" customWidth="1"/>
    <col min="11" max="11" width="60.7109375" style="7" bestFit="1" customWidth="1"/>
    <col min="12" max="12" width="13" style="7" customWidth="1"/>
    <col min="13" max="13" width="15.85546875" style="7" customWidth="1"/>
    <col min="14" max="14" width="14.140625" style="7" customWidth="1"/>
    <col min="15" max="16384" width="9.140625" style="7"/>
  </cols>
  <sheetData>
    <row r="1" spans="1:14" s="2" customFormat="1" ht="15" customHeight="1" thickBot="1">
      <c r="A1" s="95" t="s">
        <v>181</v>
      </c>
      <c r="B1" s="96" t="s">
        <v>48</v>
      </c>
      <c r="C1" s="96" t="s">
        <v>182</v>
      </c>
      <c r="D1" s="96" t="s">
        <v>183</v>
      </c>
      <c r="E1" s="96" t="s">
        <v>184</v>
      </c>
      <c r="F1" s="96" t="s">
        <v>185</v>
      </c>
      <c r="G1" s="96" t="s">
        <v>186</v>
      </c>
      <c r="H1" s="97" t="s">
        <v>187</v>
      </c>
      <c r="I1" s="145"/>
      <c r="J1" s="156" t="s">
        <v>188</v>
      </c>
      <c r="K1" s="157"/>
      <c r="L1" s="84"/>
      <c r="M1" s="84"/>
      <c r="N1" s="85" t="s">
        <v>146</v>
      </c>
    </row>
    <row r="2" spans="1:14" ht="15" customHeight="1" thickBot="1">
      <c r="A2" s="3">
        <v>45748</v>
      </c>
      <c r="B2" s="4" t="s">
        <v>189</v>
      </c>
      <c r="C2" s="4" t="s">
        <v>190</v>
      </c>
      <c r="D2" s="4" t="s">
        <v>191</v>
      </c>
      <c r="E2" s="4" t="s">
        <v>192</v>
      </c>
      <c r="F2" s="4" t="s">
        <v>193</v>
      </c>
      <c r="G2" s="4" t="s">
        <v>194</v>
      </c>
      <c r="H2" s="5">
        <v>87</v>
      </c>
      <c r="I2" s="6"/>
      <c r="J2" s="158" t="s">
        <v>195</v>
      </c>
      <c r="K2" s="159"/>
      <c r="L2" s="91"/>
      <c r="M2" s="91"/>
      <c r="N2" s="82"/>
    </row>
    <row r="3" spans="1:14" ht="15" customHeight="1" thickBot="1">
      <c r="A3" s="3">
        <v>45769</v>
      </c>
      <c r="B3" s="4" t="s">
        <v>189</v>
      </c>
      <c r="C3" s="4" t="s">
        <v>190</v>
      </c>
      <c r="D3" s="4" t="s">
        <v>191</v>
      </c>
      <c r="E3" s="4" t="s">
        <v>192</v>
      </c>
      <c r="F3" s="4" t="s">
        <v>193</v>
      </c>
      <c r="G3" s="4" t="s">
        <v>194</v>
      </c>
      <c r="H3" s="5">
        <v>87</v>
      </c>
      <c r="J3" s="12">
        <v>1</v>
      </c>
      <c r="K3" s="13" t="s">
        <v>196</v>
      </c>
      <c r="L3" s="13"/>
      <c r="M3" s="13"/>
      <c r="N3" s="83"/>
    </row>
    <row r="4" spans="1:14" ht="15" customHeight="1" thickBot="1">
      <c r="A4" s="3">
        <v>45775</v>
      </c>
      <c r="B4" s="4" t="s">
        <v>189</v>
      </c>
      <c r="C4" s="4" t="s">
        <v>190</v>
      </c>
      <c r="D4" s="4" t="s">
        <v>191</v>
      </c>
      <c r="E4" s="4" t="s">
        <v>192</v>
      </c>
      <c r="F4" s="4" t="s">
        <v>193</v>
      </c>
      <c r="G4" s="4" t="s">
        <v>194</v>
      </c>
      <c r="H4" s="5">
        <v>82</v>
      </c>
      <c r="I4" s="6"/>
      <c r="J4" s="161" t="s">
        <v>197</v>
      </c>
      <c r="K4" s="162"/>
      <c r="L4" s="162"/>
      <c r="M4" s="162"/>
      <c r="N4" s="163"/>
    </row>
    <row r="5" spans="1:14" ht="15" customHeight="1">
      <c r="A5" s="3">
        <v>45783</v>
      </c>
      <c r="B5" s="4" t="s">
        <v>189</v>
      </c>
      <c r="C5" s="4" t="s">
        <v>190</v>
      </c>
      <c r="D5" s="4" t="s">
        <v>198</v>
      </c>
      <c r="E5" s="4" t="s">
        <v>192</v>
      </c>
      <c r="F5" s="4" t="s">
        <v>199</v>
      </c>
      <c r="G5" s="4" t="s">
        <v>200</v>
      </c>
      <c r="H5" s="5">
        <v>98</v>
      </c>
      <c r="I5" s="6"/>
      <c r="J5" s="12">
        <v>2</v>
      </c>
      <c r="K5" s="13" t="s">
        <v>201</v>
      </c>
      <c r="L5" s="14"/>
      <c r="M5" s="79"/>
      <c r="N5" s="76"/>
    </row>
    <row r="6" spans="1:14" ht="15" customHeight="1">
      <c r="A6" s="8">
        <v>45811</v>
      </c>
      <c r="B6" s="9" t="s">
        <v>189</v>
      </c>
      <c r="C6" s="4" t="s">
        <v>190</v>
      </c>
      <c r="D6" s="4" t="s">
        <v>198</v>
      </c>
      <c r="E6" s="9" t="s">
        <v>192</v>
      </c>
      <c r="F6" s="9" t="s">
        <v>202</v>
      </c>
      <c r="G6" s="4" t="s">
        <v>200</v>
      </c>
      <c r="H6" s="10">
        <v>87</v>
      </c>
      <c r="J6" s="12">
        <v>3</v>
      </c>
      <c r="K6" s="13" t="s">
        <v>203</v>
      </c>
      <c r="L6" s="14"/>
      <c r="M6" s="79"/>
      <c r="N6" s="77"/>
    </row>
    <row r="7" spans="1:14" ht="15" customHeight="1" thickBot="1">
      <c r="A7" s="3">
        <v>45818</v>
      </c>
      <c r="B7" s="4" t="s">
        <v>189</v>
      </c>
      <c r="C7" s="4" t="s">
        <v>190</v>
      </c>
      <c r="D7" s="4" t="s">
        <v>191</v>
      </c>
      <c r="E7" s="4" t="s">
        <v>192</v>
      </c>
      <c r="F7" s="4" t="s">
        <v>193</v>
      </c>
      <c r="G7" s="4" t="s">
        <v>194</v>
      </c>
      <c r="H7" s="5">
        <v>87</v>
      </c>
      <c r="I7" s="6"/>
      <c r="J7" s="12">
        <v>4</v>
      </c>
      <c r="K7" s="13" t="s">
        <v>204</v>
      </c>
      <c r="L7" s="14"/>
      <c r="M7" s="79"/>
      <c r="N7" s="78"/>
    </row>
    <row r="8" spans="1:14" ht="15" customHeight="1" thickBot="1">
      <c r="A8" s="3">
        <v>45838</v>
      </c>
      <c r="B8" s="4" t="s">
        <v>189</v>
      </c>
      <c r="C8" s="4" t="s">
        <v>190</v>
      </c>
      <c r="D8" s="4" t="s">
        <v>191</v>
      </c>
      <c r="E8" s="4" t="s">
        <v>192</v>
      </c>
      <c r="F8" s="4" t="s">
        <v>193</v>
      </c>
      <c r="G8" s="4" t="s">
        <v>194</v>
      </c>
      <c r="H8" s="5">
        <v>87</v>
      </c>
      <c r="I8" s="6"/>
      <c r="J8" s="161" t="s">
        <v>205</v>
      </c>
      <c r="K8" s="162"/>
      <c r="L8" s="162"/>
      <c r="M8" s="162"/>
      <c r="N8" s="163"/>
    </row>
    <row r="9" spans="1:14" ht="15" customHeight="1">
      <c r="A9" s="3">
        <v>45846</v>
      </c>
      <c r="B9" s="4" t="s">
        <v>189</v>
      </c>
      <c r="C9" s="4" t="s">
        <v>190</v>
      </c>
      <c r="D9" s="4" t="s">
        <v>191</v>
      </c>
      <c r="E9" s="4" t="s">
        <v>192</v>
      </c>
      <c r="F9" s="4" t="s">
        <v>193</v>
      </c>
      <c r="G9" s="4" t="s">
        <v>194</v>
      </c>
      <c r="H9" s="5">
        <v>87</v>
      </c>
      <c r="I9" s="6"/>
      <c r="J9" s="12">
        <v>5</v>
      </c>
      <c r="K9" s="13" t="s">
        <v>206</v>
      </c>
      <c r="L9" s="14"/>
      <c r="M9" s="79"/>
      <c r="N9" s="76"/>
    </row>
    <row r="10" spans="1:14" ht="15" customHeight="1">
      <c r="A10" s="3">
        <v>45853</v>
      </c>
      <c r="B10" s="4" t="s">
        <v>189</v>
      </c>
      <c r="C10" s="4" t="s">
        <v>190</v>
      </c>
      <c r="D10" s="4" t="s">
        <v>191</v>
      </c>
      <c r="E10" s="4" t="s">
        <v>192</v>
      </c>
      <c r="F10" s="4" t="s">
        <v>193</v>
      </c>
      <c r="G10" s="4" t="s">
        <v>194</v>
      </c>
      <c r="H10" s="5">
        <v>81</v>
      </c>
      <c r="I10" s="6"/>
      <c r="J10" s="12">
        <v>6</v>
      </c>
      <c r="K10" s="13" t="s">
        <v>207</v>
      </c>
      <c r="L10" s="14"/>
      <c r="M10" s="79"/>
      <c r="N10" s="77"/>
    </row>
    <row r="11" spans="1:14" ht="15" customHeight="1">
      <c r="A11" s="3">
        <v>45859</v>
      </c>
      <c r="B11" s="4" t="s">
        <v>189</v>
      </c>
      <c r="C11" s="4" t="s">
        <v>190</v>
      </c>
      <c r="D11" s="4" t="s">
        <v>191</v>
      </c>
      <c r="E11" s="4" t="s">
        <v>192</v>
      </c>
      <c r="F11" s="4" t="s">
        <v>193</v>
      </c>
      <c r="G11" s="4" t="s">
        <v>194</v>
      </c>
      <c r="H11" s="5">
        <v>114.5</v>
      </c>
      <c r="I11" s="6"/>
      <c r="J11" s="12">
        <v>7</v>
      </c>
      <c r="K11" s="13" t="s">
        <v>208</v>
      </c>
      <c r="L11" s="14"/>
      <c r="M11" s="79"/>
      <c r="N11" s="77"/>
    </row>
    <row r="12" spans="1:14" ht="15" customHeight="1" thickBot="1">
      <c r="A12" s="3">
        <v>45867</v>
      </c>
      <c r="B12" s="4" t="s">
        <v>189</v>
      </c>
      <c r="C12" s="4" t="s">
        <v>190</v>
      </c>
      <c r="D12" s="4" t="s">
        <v>191</v>
      </c>
      <c r="E12" s="4" t="s">
        <v>192</v>
      </c>
      <c r="F12" s="4" t="s">
        <v>193</v>
      </c>
      <c r="G12" s="4" t="s">
        <v>194</v>
      </c>
      <c r="H12" s="5">
        <v>89</v>
      </c>
      <c r="I12" s="6"/>
      <c r="J12" s="15">
        <v>8</v>
      </c>
      <c r="K12" s="16" t="s">
        <v>209</v>
      </c>
      <c r="L12" s="17"/>
      <c r="M12" s="80"/>
      <c r="N12" s="78"/>
    </row>
    <row r="13" spans="1:14" ht="15" customHeight="1" thickBot="1">
      <c r="A13" s="3">
        <v>45874</v>
      </c>
      <c r="B13" s="4" t="s">
        <v>189</v>
      </c>
      <c r="C13" s="4" t="s">
        <v>190</v>
      </c>
      <c r="D13" s="4" t="s">
        <v>191</v>
      </c>
      <c r="E13" s="4" t="s">
        <v>192</v>
      </c>
      <c r="F13" s="4" t="s">
        <v>193</v>
      </c>
      <c r="G13" s="4" t="s">
        <v>194</v>
      </c>
      <c r="H13" s="5">
        <v>91</v>
      </c>
      <c r="I13" s="6"/>
    </row>
    <row r="14" spans="1:14" ht="15" customHeight="1" thickBot="1">
      <c r="A14" s="3">
        <v>45888</v>
      </c>
      <c r="B14" s="4" t="s">
        <v>189</v>
      </c>
      <c r="C14" s="4" t="s">
        <v>190</v>
      </c>
      <c r="D14" s="4" t="s">
        <v>198</v>
      </c>
      <c r="E14" s="4" t="s">
        <v>202</v>
      </c>
      <c r="F14" s="4" t="s">
        <v>192</v>
      </c>
      <c r="G14" s="4" t="s">
        <v>200</v>
      </c>
      <c r="H14" s="5">
        <v>112</v>
      </c>
      <c r="I14" s="6"/>
      <c r="J14" s="156" t="s">
        <v>210</v>
      </c>
      <c r="K14" s="157"/>
      <c r="L14" s="86"/>
      <c r="M14" s="86"/>
      <c r="N14" s="87" t="s">
        <v>146</v>
      </c>
    </row>
    <row r="15" spans="1:14" ht="15" customHeight="1" thickBot="1">
      <c r="A15" s="3">
        <v>45895</v>
      </c>
      <c r="B15" s="4" t="s">
        <v>189</v>
      </c>
      <c r="C15" s="4" t="s">
        <v>190</v>
      </c>
      <c r="D15" s="4" t="s">
        <v>191</v>
      </c>
      <c r="E15" s="4" t="s">
        <v>192</v>
      </c>
      <c r="F15" s="4" t="s">
        <v>193</v>
      </c>
      <c r="G15" s="4" t="s">
        <v>194</v>
      </c>
      <c r="H15" s="5">
        <v>92</v>
      </c>
      <c r="I15" s="6"/>
      <c r="J15" s="158" t="s">
        <v>211</v>
      </c>
      <c r="K15" s="159"/>
      <c r="L15" s="159"/>
      <c r="M15" s="159"/>
      <c r="N15" s="160"/>
    </row>
    <row r="16" spans="1:14" ht="15" customHeight="1" thickBot="1">
      <c r="A16" s="3">
        <v>45898</v>
      </c>
      <c r="B16" s="4" t="s">
        <v>189</v>
      </c>
      <c r="C16" s="4" t="s">
        <v>190</v>
      </c>
      <c r="D16" s="4" t="s">
        <v>191</v>
      </c>
      <c r="E16" s="4" t="s">
        <v>192</v>
      </c>
      <c r="F16" s="4" t="s">
        <v>193</v>
      </c>
      <c r="G16" s="4" t="s">
        <v>194</v>
      </c>
      <c r="H16" s="5">
        <v>86</v>
      </c>
      <c r="J16" s="12">
        <v>1</v>
      </c>
      <c r="K16" s="13" t="s">
        <v>212</v>
      </c>
      <c r="L16" s="13"/>
      <c r="M16" s="13"/>
      <c r="N16" s="81"/>
    </row>
    <row r="17" spans="1:14" ht="15" customHeight="1" thickBot="1">
      <c r="A17" s="3">
        <v>45903</v>
      </c>
      <c r="B17" s="4" t="s">
        <v>189</v>
      </c>
      <c r="C17" s="4" t="s">
        <v>190</v>
      </c>
      <c r="D17" s="4" t="s">
        <v>198</v>
      </c>
      <c r="E17" s="4" t="s">
        <v>192</v>
      </c>
      <c r="F17" s="4" t="s">
        <v>213</v>
      </c>
      <c r="G17" s="4" t="s">
        <v>214</v>
      </c>
      <c r="H17" s="5">
        <v>83</v>
      </c>
      <c r="I17" s="6"/>
      <c r="J17" s="161" t="s">
        <v>215</v>
      </c>
      <c r="K17" s="162"/>
      <c r="L17" s="162"/>
      <c r="M17" s="162"/>
      <c r="N17" s="163"/>
    </row>
    <row r="18" spans="1:14" ht="15" customHeight="1">
      <c r="A18" s="3">
        <v>45755</v>
      </c>
      <c r="B18" s="4" t="s">
        <v>189</v>
      </c>
      <c r="C18" s="4" t="s">
        <v>190</v>
      </c>
      <c r="D18" s="4" t="s">
        <v>198</v>
      </c>
      <c r="E18" s="4" t="s">
        <v>192</v>
      </c>
      <c r="F18" s="4" t="s">
        <v>213</v>
      </c>
      <c r="G18" s="4" t="s">
        <v>216</v>
      </c>
      <c r="H18" s="5">
        <v>143.5</v>
      </c>
      <c r="I18" s="6"/>
      <c r="J18" s="12">
        <v>2</v>
      </c>
      <c r="K18" s="13" t="s">
        <v>217</v>
      </c>
      <c r="L18" s="14"/>
      <c r="M18" s="79"/>
      <c r="N18" s="76"/>
    </row>
    <row r="19" spans="1:14" ht="15" customHeight="1">
      <c r="A19" s="3">
        <v>45762</v>
      </c>
      <c r="B19" s="4" t="s">
        <v>189</v>
      </c>
      <c r="C19" s="4" t="s">
        <v>190</v>
      </c>
      <c r="D19" s="4" t="s">
        <v>191</v>
      </c>
      <c r="E19" s="4" t="s">
        <v>192</v>
      </c>
      <c r="F19" s="4" t="s">
        <v>193</v>
      </c>
      <c r="G19" s="4" t="s">
        <v>194</v>
      </c>
      <c r="H19" s="5">
        <v>149</v>
      </c>
      <c r="I19" s="6"/>
      <c r="J19" s="12">
        <v>3</v>
      </c>
      <c r="K19" s="13" t="s">
        <v>218</v>
      </c>
      <c r="L19" s="14"/>
      <c r="M19" s="79"/>
      <c r="N19" s="77"/>
    </row>
    <row r="20" spans="1:14" ht="15" customHeight="1">
      <c r="A20" s="3">
        <v>45762</v>
      </c>
      <c r="B20" s="4" t="s">
        <v>189</v>
      </c>
      <c r="C20" s="4" t="s">
        <v>190</v>
      </c>
      <c r="D20" s="4" t="s">
        <v>198</v>
      </c>
      <c r="E20" s="4" t="s">
        <v>213</v>
      </c>
      <c r="F20" s="4" t="s">
        <v>192</v>
      </c>
      <c r="G20" s="4" t="s">
        <v>214</v>
      </c>
      <c r="H20" s="5">
        <v>143.5</v>
      </c>
      <c r="I20" s="6"/>
      <c r="J20" s="12">
        <v>4</v>
      </c>
      <c r="K20" s="13" t="s">
        <v>219</v>
      </c>
      <c r="L20" s="14"/>
      <c r="M20" s="79"/>
      <c r="N20" s="77"/>
    </row>
    <row r="21" spans="1:14" ht="15" customHeight="1" thickBot="1">
      <c r="A21" s="3">
        <v>45790</v>
      </c>
      <c r="B21" s="4" t="s">
        <v>189</v>
      </c>
      <c r="C21" s="4" t="s">
        <v>190</v>
      </c>
      <c r="D21" s="4" t="s">
        <v>191</v>
      </c>
      <c r="E21" s="4" t="s">
        <v>192</v>
      </c>
      <c r="F21" s="4" t="s">
        <v>193</v>
      </c>
      <c r="G21" s="4" t="s">
        <v>194</v>
      </c>
      <c r="H21" s="5">
        <v>134.5</v>
      </c>
      <c r="I21" s="6"/>
      <c r="J21" s="12">
        <v>5</v>
      </c>
      <c r="K21" s="13" t="s">
        <v>220</v>
      </c>
      <c r="L21" s="14"/>
      <c r="M21" s="79"/>
      <c r="N21" s="78"/>
    </row>
    <row r="22" spans="1:14" ht="15" customHeight="1" thickBot="1">
      <c r="A22" s="3">
        <v>45790</v>
      </c>
      <c r="B22" s="4" t="s">
        <v>189</v>
      </c>
      <c r="C22" s="4" t="s">
        <v>190</v>
      </c>
      <c r="D22" s="4" t="s">
        <v>191</v>
      </c>
      <c r="E22" s="4" t="s">
        <v>193</v>
      </c>
      <c r="F22" s="4" t="s">
        <v>192</v>
      </c>
      <c r="G22" s="4" t="s">
        <v>194</v>
      </c>
      <c r="H22" s="5">
        <v>84</v>
      </c>
      <c r="I22" s="6"/>
      <c r="J22" s="161" t="s">
        <v>221</v>
      </c>
      <c r="K22" s="162"/>
      <c r="L22" s="162"/>
      <c r="M22" s="162"/>
      <c r="N22" s="163"/>
    </row>
    <row r="23" spans="1:14" ht="15" customHeight="1">
      <c r="A23" s="3">
        <v>45795</v>
      </c>
      <c r="B23" s="4" t="s">
        <v>189</v>
      </c>
      <c r="C23" s="4" t="s">
        <v>190</v>
      </c>
      <c r="D23" s="4" t="s">
        <v>191</v>
      </c>
      <c r="E23" s="4" t="s">
        <v>192</v>
      </c>
      <c r="F23" s="4" t="s">
        <v>193</v>
      </c>
      <c r="G23" s="4" t="s">
        <v>194</v>
      </c>
      <c r="H23" s="5">
        <v>134.5</v>
      </c>
      <c r="I23" s="6"/>
      <c r="J23" s="12">
        <v>6</v>
      </c>
      <c r="K23" s="13" t="s">
        <v>222</v>
      </c>
      <c r="L23" s="14"/>
      <c r="M23" s="79"/>
      <c r="N23" s="76"/>
    </row>
    <row r="24" spans="1:14" ht="15" customHeight="1">
      <c r="A24" s="3">
        <v>45797</v>
      </c>
      <c r="B24" s="4" t="s">
        <v>189</v>
      </c>
      <c r="C24" s="4" t="s">
        <v>190</v>
      </c>
      <c r="D24" s="4" t="s">
        <v>191</v>
      </c>
      <c r="E24" s="4" t="s">
        <v>193</v>
      </c>
      <c r="F24" s="4" t="s">
        <v>192</v>
      </c>
      <c r="G24" s="4" t="s">
        <v>194</v>
      </c>
      <c r="H24" s="5">
        <v>86.3</v>
      </c>
      <c r="J24" s="12">
        <v>7</v>
      </c>
      <c r="K24" s="13" t="s">
        <v>223</v>
      </c>
      <c r="L24" s="14"/>
      <c r="M24" s="79"/>
      <c r="N24" s="77"/>
    </row>
    <row r="25" spans="1:14" ht="15" customHeight="1" thickBot="1">
      <c r="A25" s="3">
        <v>45775</v>
      </c>
      <c r="B25" s="4" t="s">
        <v>224</v>
      </c>
      <c r="C25" s="4" t="s">
        <v>225</v>
      </c>
      <c r="D25" s="4" t="s">
        <v>191</v>
      </c>
      <c r="E25" s="4" t="s">
        <v>192</v>
      </c>
      <c r="F25" s="4" t="s">
        <v>193</v>
      </c>
      <c r="G25" s="4" t="s">
        <v>194</v>
      </c>
      <c r="H25" s="5">
        <v>98</v>
      </c>
      <c r="I25" s="6"/>
      <c r="J25" s="15">
        <v>8</v>
      </c>
      <c r="K25" s="16" t="s">
        <v>226</v>
      </c>
      <c r="L25" s="17"/>
      <c r="M25" s="80"/>
      <c r="N25" s="78"/>
    </row>
    <row r="26" spans="1:14" ht="15" customHeight="1" thickBot="1">
      <c r="A26" s="3">
        <v>45790</v>
      </c>
      <c r="B26" s="4" t="s">
        <v>224</v>
      </c>
      <c r="C26" s="4" t="s">
        <v>225</v>
      </c>
      <c r="D26" s="4" t="s">
        <v>191</v>
      </c>
      <c r="E26" s="4" t="s">
        <v>192</v>
      </c>
      <c r="F26" s="4" t="s">
        <v>193</v>
      </c>
      <c r="G26" s="4" t="s">
        <v>194</v>
      </c>
      <c r="H26" s="5">
        <v>98</v>
      </c>
      <c r="I26" s="6"/>
    </row>
    <row r="27" spans="1:14" ht="15" customHeight="1" thickBot="1">
      <c r="A27" s="3">
        <v>45796</v>
      </c>
      <c r="B27" s="4" t="s">
        <v>224</v>
      </c>
      <c r="C27" s="4" t="s">
        <v>225</v>
      </c>
      <c r="D27" s="4" t="s">
        <v>191</v>
      </c>
      <c r="E27" s="4" t="s">
        <v>192</v>
      </c>
      <c r="F27" s="4" t="s">
        <v>193</v>
      </c>
      <c r="G27" s="4" t="s">
        <v>194</v>
      </c>
      <c r="H27" s="5">
        <v>82</v>
      </c>
      <c r="I27" s="6"/>
      <c r="J27" s="156" t="s">
        <v>227</v>
      </c>
      <c r="K27" s="157"/>
      <c r="L27" s="84"/>
      <c r="M27" s="84"/>
      <c r="N27" s="85" t="s">
        <v>146</v>
      </c>
    </row>
    <row r="28" spans="1:14" ht="15" customHeight="1" thickBot="1">
      <c r="A28" s="3">
        <v>45812</v>
      </c>
      <c r="B28" s="4" t="s">
        <v>224</v>
      </c>
      <c r="C28" s="4" t="s">
        <v>225</v>
      </c>
      <c r="D28" s="4" t="s">
        <v>191</v>
      </c>
      <c r="E28" s="4" t="s">
        <v>192</v>
      </c>
      <c r="F28" s="4" t="s">
        <v>193</v>
      </c>
      <c r="G28" s="4" t="s">
        <v>194</v>
      </c>
      <c r="H28" s="5">
        <v>98</v>
      </c>
      <c r="I28" s="6"/>
      <c r="J28" s="158" t="s">
        <v>228</v>
      </c>
      <c r="K28" s="159"/>
      <c r="L28" s="159"/>
      <c r="M28" s="159"/>
      <c r="N28" s="160"/>
    </row>
    <row r="29" spans="1:14" ht="15" customHeight="1" thickBot="1">
      <c r="A29" s="3">
        <v>45838</v>
      </c>
      <c r="B29" s="4" t="s">
        <v>224</v>
      </c>
      <c r="C29" s="4" t="s">
        <v>225</v>
      </c>
      <c r="D29" s="4" t="s">
        <v>191</v>
      </c>
      <c r="E29" s="4" t="s">
        <v>192</v>
      </c>
      <c r="F29" s="4" t="s">
        <v>193</v>
      </c>
      <c r="G29" s="4" t="s">
        <v>194</v>
      </c>
      <c r="H29" s="5">
        <v>93</v>
      </c>
      <c r="I29" s="6"/>
      <c r="J29" s="12">
        <v>1</v>
      </c>
      <c r="K29" s="13" t="s">
        <v>229</v>
      </c>
      <c r="L29" s="13"/>
      <c r="M29" s="13"/>
      <c r="N29" s="83"/>
    </row>
    <row r="30" spans="1:14" ht="15" customHeight="1" thickBot="1">
      <c r="A30" s="3">
        <v>45838</v>
      </c>
      <c r="B30" s="4" t="s">
        <v>224</v>
      </c>
      <c r="C30" s="4" t="s">
        <v>225</v>
      </c>
      <c r="D30" s="4" t="s">
        <v>191</v>
      </c>
      <c r="E30" s="4" t="s">
        <v>192</v>
      </c>
      <c r="F30" s="4" t="s">
        <v>193</v>
      </c>
      <c r="G30" s="4" t="s">
        <v>194</v>
      </c>
      <c r="H30" s="5">
        <v>114</v>
      </c>
      <c r="I30" s="6"/>
      <c r="J30" s="161" t="s">
        <v>230</v>
      </c>
      <c r="K30" s="162"/>
      <c r="L30" s="162"/>
      <c r="M30" s="162"/>
      <c r="N30" s="163"/>
    </row>
    <row r="31" spans="1:14" ht="15" customHeight="1">
      <c r="A31" s="3">
        <v>45844</v>
      </c>
      <c r="B31" s="4" t="s">
        <v>224</v>
      </c>
      <c r="C31" s="4" t="s">
        <v>225</v>
      </c>
      <c r="D31" s="4" t="s">
        <v>191</v>
      </c>
      <c r="E31" s="4" t="s">
        <v>192</v>
      </c>
      <c r="F31" s="4" t="s">
        <v>193</v>
      </c>
      <c r="G31" s="4" t="s">
        <v>194</v>
      </c>
      <c r="H31" s="5">
        <v>94</v>
      </c>
      <c r="I31" s="6"/>
      <c r="J31" s="12">
        <v>2</v>
      </c>
      <c r="K31" s="13" t="s">
        <v>231</v>
      </c>
      <c r="L31" s="14"/>
      <c r="M31" s="79"/>
      <c r="N31" s="76"/>
    </row>
    <row r="32" spans="1:14" ht="15" customHeight="1">
      <c r="A32" s="3">
        <v>45845</v>
      </c>
      <c r="B32" s="4" t="s">
        <v>224</v>
      </c>
      <c r="C32" s="4" t="s">
        <v>225</v>
      </c>
      <c r="D32" s="4" t="s">
        <v>198</v>
      </c>
      <c r="E32" s="4" t="s">
        <v>192</v>
      </c>
      <c r="F32" s="4" t="s">
        <v>213</v>
      </c>
      <c r="G32" s="4" t="s">
        <v>214</v>
      </c>
      <c r="H32" s="5">
        <v>83</v>
      </c>
      <c r="I32" s="6"/>
      <c r="J32" s="12">
        <v>3</v>
      </c>
      <c r="K32" s="13" t="s">
        <v>232</v>
      </c>
      <c r="L32" s="14"/>
      <c r="M32" s="79"/>
      <c r="N32" s="77"/>
    </row>
    <row r="33" spans="1:14" ht="15" customHeight="1" thickBot="1">
      <c r="A33" s="3">
        <v>45847</v>
      </c>
      <c r="B33" s="4" t="s">
        <v>224</v>
      </c>
      <c r="C33" s="4" t="s">
        <v>225</v>
      </c>
      <c r="D33" s="4" t="s">
        <v>191</v>
      </c>
      <c r="E33" s="4" t="s">
        <v>192</v>
      </c>
      <c r="F33" s="4" t="s">
        <v>193</v>
      </c>
      <c r="G33" s="4" t="s">
        <v>194</v>
      </c>
      <c r="H33" s="5">
        <v>95.8</v>
      </c>
      <c r="I33" s="6"/>
      <c r="J33" s="12">
        <v>4</v>
      </c>
      <c r="K33" s="13" t="s">
        <v>233</v>
      </c>
      <c r="L33" s="14"/>
      <c r="M33" s="79"/>
      <c r="N33" s="78"/>
    </row>
    <row r="34" spans="1:14" ht="15" customHeight="1" thickBot="1">
      <c r="A34" s="3">
        <v>45853</v>
      </c>
      <c r="B34" s="4" t="s">
        <v>224</v>
      </c>
      <c r="C34" s="4" t="s">
        <v>225</v>
      </c>
      <c r="D34" s="4" t="s">
        <v>191</v>
      </c>
      <c r="E34" s="4" t="s">
        <v>192</v>
      </c>
      <c r="F34" s="4" t="s">
        <v>193</v>
      </c>
      <c r="G34" s="4" t="s">
        <v>194</v>
      </c>
      <c r="H34" s="5">
        <v>94.5</v>
      </c>
      <c r="I34" s="6"/>
      <c r="J34" s="161" t="s">
        <v>234</v>
      </c>
      <c r="K34" s="162"/>
      <c r="L34" s="162"/>
      <c r="M34" s="162"/>
      <c r="N34" s="163"/>
    </row>
    <row r="35" spans="1:14" ht="15" customHeight="1" thickBot="1">
      <c r="A35" s="3">
        <v>45859</v>
      </c>
      <c r="B35" s="4" t="s">
        <v>224</v>
      </c>
      <c r="C35" s="4" t="s">
        <v>225</v>
      </c>
      <c r="D35" s="4" t="s">
        <v>191</v>
      </c>
      <c r="E35" s="4" t="s">
        <v>192</v>
      </c>
      <c r="F35" s="4" t="s">
        <v>193</v>
      </c>
      <c r="G35" s="4" t="s">
        <v>194</v>
      </c>
      <c r="H35" s="5">
        <v>98</v>
      </c>
      <c r="I35" s="6"/>
      <c r="J35" s="15">
        <v>5</v>
      </c>
      <c r="K35" s="16" t="s">
        <v>235</v>
      </c>
      <c r="L35" s="17"/>
      <c r="M35" s="80"/>
      <c r="N35" s="83"/>
    </row>
    <row r="36" spans="1:14" ht="15" customHeight="1" thickBot="1">
      <c r="A36" s="3">
        <v>45866</v>
      </c>
      <c r="B36" s="4" t="s">
        <v>224</v>
      </c>
      <c r="C36" s="4" t="s">
        <v>225</v>
      </c>
      <c r="D36" s="4" t="s">
        <v>191</v>
      </c>
      <c r="E36" s="4" t="s">
        <v>192</v>
      </c>
      <c r="F36" s="4" t="s">
        <v>193</v>
      </c>
      <c r="G36" s="4" t="s">
        <v>194</v>
      </c>
      <c r="H36" s="5">
        <v>90</v>
      </c>
      <c r="I36" s="6"/>
    </row>
    <row r="37" spans="1:14" ht="15" customHeight="1" thickBot="1">
      <c r="A37" s="3">
        <v>45872</v>
      </c>
      <c r="B37" s="4" t="s">
        <v>224</v>
      </c>
      <c r="C37" s="4" t="s">
        <v>225</v>
      </c>
      <c r="D37" s="4" t="s">
        <v>191</v>
      </c>
      <c r="E37" s="4" t="s">
        <v>192</v>
      </c>
      <c r="F37" s="4" t="s">
        <v>193</v>
      </c>
      <c r="G37" s="4" t="s">
        <v>194</v>
      </c>
      <c r="H37" s="5">
        <v>100</v>
      </c>
      <c r="I37" s="6"/>
      <c r="J37" s="156" t="s">
        <v>236</v>
      </c>
      <c r="K37" s="157"/>
      <c r="L37" s="88"/>
      <c r="M37" s="88"/>
      <c r="N37" s="89" t="s">
        <v>146</v>
      </c>
    </row>
    <row r="38" spans="1:14" ht="15" customHeight="1" thickBot="1">
      <c r="A38" s="3">
        <v>45873</v>
      </c>
      <c r="B38" s="4" t="s">
        <v>224</v>
      </c>
      <c r="C38" s="4" t="s">
        <v>225</v>
      </c>
      <c r="D38" s="4" t="s">
        <v>191</v>
      </c>
      <c r="E38" s="4" t="s">
        <v>192</v>
      </c>
      <c r="F38" s="4" t="s">
        <v>193</v>
      </c>
      <c r="G38" s="4" t="s">
        <v>194</v>
      </c>
      <c r="H38" s="5">
        <v>109.5</v>
      </c>
      <c r="I38" s="6"/>
      <c r="J38" s="71" t="s">
        <v>236</v>
      </c>
      <c r="N38" s="72"/>
    </row>
    <row r="39" spans="1:14" ht="15" customHeight="1">
      <c r="A39" s="3">
        <v>45875</v>
      </c>
      <c r="B39" s="4" t="s">
        <v>224</v>
      </c>
      <c r="C39" s="4" t="s">
        <v>225</v>
      </c>
      <c r="D39" s="4" t="s">
        <v>191</v>
      </c>
      <c r="E39" s="4" t="s">
        <v>192</v>
      </c>
      <c r="F39" s="4" t="s">
        <v>193</v>
      </c>
      <c r="G39" s="4" t="s">
        <v>194</v>
      </c>
      <c r="H39" s="5">
        <v>91</v>
      </c>
      <c r="I39" s="6"/>
      <c r="J39" s="73">
        <v>1</v>
      </c>
      <c r="K39" s="7" t="s">
        <v>237</v>
      </c>
      <c r="N39" s="76"/>
    </row>
    <row r="40" spans="1:14" ht="15" customHeight="1">
      <c r="A40" s="3">
        <v>45886</v>
      </c>
      <c r="B40" s="4" t="s">
        <v>224</v>
      </c>
      <c r="C40" s="4" t="s">
        <v>225</v>
      </c>
      <c r="D40" s="4" t="s">
        <v>191</v>
      </c>
      <c r="E40" s="4" t="s">
        <v>192</v>
      </c>
      <c r="F40" s="4" t="s">
        <v>193</v>
      </c>
      <c r="G40" s="4" t="s">
        <v>194</v>
      </c>
      <c r="H40" s="5">
        <v>91</v>
      </c>
      <c r="I40" s="6"/>
      <c r="J40" s="73">
        <v>2</v>
      </c>
      <c r="K40" s="7" t="s">
        <v>238</v>
      </c>
      <c r="N40" s="77"/>
    </row>
    <row r="41" spans="1:14" ht="15" customHeight="1">
      <c r="A41" s="3">
        <v>45893</v>
      </c>
      <c r="B41" s="4" t="s">
        <v>224</v>
      </c>
      <c r="C41" s="4" t="s">
        <v>225</v>
      </c>
      <c r="D41" s="4" t="s">
        <v>191</v>
      </c>
      <c r="E41" s="4" t="s">
        <v>192</v>
      </c>
      <c r="F41" s="4" t="s">
        <v>193</v>
      </c>
      <c r="G41" s="4" t="s">
        <v>194</v>
      </c>
      <c r="H41" s="5">
        <v>154.5</v>
      </c>
      <c r="I41" s="6"/>
      <c r="J41" s="73">
        <v>3</v>
      </c>
      <c r="K41" s="7" t="s">
        <v>239</v>
      </c>
      <c r="N41" s="77"/>
    </row>
    <row r="42" spans="1:14" ht="15" customHeight="1" thickBot="1">
      <c r="A42" s="3">
        <v>45896</v>
      </c>
      <c r="B42" s="4" t="s">
        <v>224</v>
      </c>
      <c r="C42" s="4" t="s">
        <v>225</v>
      </c>
      <c r="D42" s="4" t="s">
        <v>198</v>
      </c>
      <c r="E42" s="4" t="s">
        <v>192</v>
      </c>
      <c r="F42" s="4" t="s">
        <v>202</v>
      </c>
      <c r="G42" s="4" t="s">
        <v>200</v>
      </c>
      <c r="H42" s="5">
        <v>95.4</v>
      </c>
      <c r="I42" s="6"/>
      <c r="J42" s="74">
        <v>4</v>
      </c>
      <c r="K42" s="75" t="s">
        <v>240</v>
      </c>
      <c r="L42" s="75"/>
      <c r="M42" s="75"/>
      <c r="N42" s="78"/>
    </row>
    <row r="43" spans="1:14" ht="15" customHeight="1">
      <c r="A43" s="3">
        <v>45908</v>
      </c>
      <c r="B43" s="4" t="s">
        <v>224</v>
      </c>
      <c r="C43" s="4" t="s">
        <v>225</v>
      </c>
      <c r="D43" s="4" t="s">
        <v>191</v>
      </c>
      <c r="E43" s="4" t="s">
        <v>192</v>
      </c>
      <c r="F43" s="4" t="s">
        <v>193</v>
      </c>
      <c r="G43" s="4" t="s">
        <v>194</v>
      </c>
      <c r="H43" s="5">
        <v>97</v>
      </c>
      <c r="I43" s="6"/>
    </row>
    <row r="44" spans="1:14" ht="15" customHeight="1">
      <c r="A44" s="3">
        <v>45932</v>
      </c>
      <c r="B44" s="4" t="s">
        <v>224</v>
      </c>
      <c r="C44" s="4" t="s">
        <v>225</v>
      </c>
      <c r="D44" s="4" t="s">
        <v>191</v>
      </c>
      <c r="E44" s="4" t="s">
        <v>192</v>
      </c>
      <c r="F44" s="4" t="s">
        <v>193</v>
      </c>
      <c r="G44" s="4" t="s">
        <v>194</v>
      </c>
      <c r="H44" s="5">
        <v>164.5</v>
      </c>
      <c r="I44" s="6"/>
    </row>
    <row r="45" spans="1:14" ht="15" customHeight="1">
      <c r="A45" s="3">
        <v>45819</v>
      </c>
      <c r="B45" s="4" t="s">
        <v>241</v>
      </c>
      <c r="C45" s="4" t="s">
        <v>225</v>
      </c>
      <c r="D45" s="4" t="s">
        <v>191</v>
      </c>
      <c r="E45" s="4" t="s">
        <v>193</v>
      </c>
      <c r="F45" s="4" t="s">
        <v>192</v>
      </c>
      <c r="G45" s="4" t="s">
        <v>194</v>
      </c>
      <c r="H45" s="5">
        <v>87</v>
      </c>
      <c r="I45" s="6"/>
    </row>
    <row r="46" spans="1:14" ht="15" customHeight="1">
      <c r="A46" s="3">
        <v>45890</v>
      </c>
      <c r="B46" s="4" t="s">
        <v>241</v>
      </c>
      <c r="C46" s="4" t="s">
        <v>225</v>
      </c>
      <c r="D46" s="4" t="s">
        <v>198</v>
      </c>
      <c r="E46" s="4" t="s">
        <v>192</v>
      </c>
      <c r="F46" s="4" t="s">
        <v>199</v>
      </c>
      <c r="G46" s="4" t="s">
        <v>200</v>
      </c>
      <c r="H46" s="5">
        <v>130.05000000000001</v>
      </c>
      <c r="I46" s="6"/>
    </row>
    <row r="47" spans="1:14" ht="15" customHeight="1">
      <c r="A47" s="3">
        <v>45939</v>
      </c>
      <c r="B47" s="4" t="s">
        <v>242</v>
      </c>
      <c r="C47" s="4" t="s">
        <v>225</v>
      </c>
      <c r="D47" s="4" t="s">
        <v>243</v>
      </c>
      <c r="E47" s="4" t="s">
        <v>192</v>
      </c>
      <c r="F47" s="4" t="s">
        <v>244</v>
      </c>
      <c r="G47" s="4" t="s">
        <v>200</v>
      </c>
      <c r="H47" s="5">
        <v>203.9</v>
      </c>
      <c r="I47" s="6"/>
    </row>
    <row r="48" spans="1:14" ht="15" customHeight="1">
      <c r="A48" s="3">
        <v>45810</v>
      </c>
      <c r="B48" s="4" t="s">
        <v>242</v>
      </c>
      <c r="C48" s="4" t="s">
        <v>225</v>
      </c>
      <c r="D48" s="4" t="s">
        <v>243</v>
      </c>
      <c r="E48" s="4" t="s">
        <v>202</v>
      </c>
      <c r="F48" s="4" t="s">
        <v>245</v>
      </c>
      <c r="G48" s="4" t="s">
        <v>216</v>
      </c>
      <c r="H48" s="5">
        <v>221.68</v>
      </c>
      <c r="I48" s="6"/>
    </row>
    <row r="49" spans="1:9" ht="15" customHeight="1">
      <c r="A49" s="3">
        <v>45769</v>
      </c>
      <c r="B49" s="4" t="s">
        <v>246</v>
      </c>
      <c r="C49" s="4" t="s">
        <v>247</v>
      </c>
      <c r="D49" s="4" t="s">
        <v>191</v>
      </c>
      <c r="E49" s="4" t="s">
        <v>192</v>
      </c>
      <c r="F49" s="4" t="s">
        <v>193</v>
      </c>
      <c r="G49" s="4" t="s">
        <v>194</v>
      </c>
      <c r="H49" s="5">
        <v>87</v>
      </c>
      <c r="I49" s="6"/>
    </row>
    <row r="50" spans="1:9" ht="15" customHeight="1">
      <c r="A50" s="3">
        <v>45783</v>
      </c>
      <c r="B50" s="4" t="s">
        <v>246</v>
      </c>
      <c r="C50" s="4" t="s">
        <v>247</v>
      </c>
      <c r="D50" s="4" t="s">
        <v>191</v>
      </c>
      <c r="E50" s="4" t="s">
        <v>192</v>
      </c>
      <c r="F50" s="4" t="s">
        <v>193</v>
      </c>
      <c r="G50" s="4" t="s">
        <v>194</v>
      </c>
      <c r="H50" s="5">
        <v>98</v>
      </c>
      <c r="I50" s="6"/>
    </row>
    <row r="51" spans="1:9" ht="15" customHeight="1">
      <c r="A51" s="3">
        <v>45788</v>
      </c>
      <c r="B51" s="4" t="s">
        <v>246</v>
      </c>
      <c r="C51" s="4" t="s">
        <v>247</v>
      </c>
      <c r="D51" s="4" t="s">
        <v>191</v>
      </c>
      <c r="E51" s="4" t="s">
        <v>192</v>
      </c>
      <c r="F51" s="4" t="s">
        <v>193</v>
      </c>
      <c r="G51" s="4" t="s">
        <v>194</v>
      </c>
      <c r="H51" s="5">
        <v>103</v>
      </c>
      <c r="I51" s="6"/>
    </row>
    <row r="52" spans="1:9" ht="15" customHeight="1">
      <c r="A52" s="3">
        <v>45789</v>
      </c>
      <c r="B52" s="4" t="s">
        <v>246</v>
      </c>
      <c r="C52" s="4" t="s">
        <v>247</v>
      </c>
      <c r="D52" s="4" t="s">
        <v>198</v>
      </c>
      <c r="E52" s="4" t="s">
        <v>192</v>
      </c>
      <c r="F52" s="4" t="s">
        <v>213</v>
      </c>
      <c r="G52" s="4" t="s">
        <v>214</v>
      </c>
      <c r="H52" s="5">
        <v>87</v>
      </c>
      <c r="I52" s="6"/>
    </row>
    <row r="53" spans="1:9" ht="15" customHeight="1">
      <c r="A53" s="3">
        <v>45809</v>
      </c>
      <c r="B53" s="4" t="s">
        <v>246</v>
      </c>
      <c r="C53" s="4" t="s">
        <v>247</v>
      </c>
      <c r="D53" s="4" t="s">
        <v>191</v>
      </c>
      <c r="E53" s="4" t="s">
        <v>192</v>
      </c>
      <c r="F53" s="4" t="s">
        <v>193</v>
      </c>
      <c r="G53" s="4" t="s">
        <v>194</v>
      </c>
      <c r="H53" s="5">
        <v>87</v>
      </c>
      <c r="I53" s="6"/>
    </row>
    <row r="54" spans="1:9" ht="15" customHeight="1">
      <c r="A54" s="3">
        <v>45830</v>
      </c>
      <c r="B54" s="4" t="s">
        <v>246</v>
      </c>
      <c r="C54" s="4" t="s">
        <v>247</v>
      </c>
      <c r="D54" s="4" t="s">
        <v>191</v>
      </c>
      <c r="E54" s="4" t="s">
        <v>192</v>
      </c>
      <c r="F54" s="4" t="s">
        <v>193</v>
      </c>
      <c r="G54" s="4" t="s">
        <v>194</v>
      </c>
      <c r="H54" s="5">
        <v>93</v>
      </c>
      <c r="I54" s="6"/>
    </row>
    <row r="55" spans="1:9" ht="15" customHeight="1">
      <c r="A55" s="3">
        <v>45860</v>
      </c>
      <c r="B55" s="4" t="s">
        <v>246</v>
      </c>
      <c r="C55" s="4" t="s">
        <v>247</v>
      </c>
      <c r="D55" s="4" t="s">
        <v>191</v>
      </c>
      <c r="E55" s="4" t="s">
        <v>192</v>
      </c>
      <c r="F55" s="4" t="s">
        <v>193</v>
      </c>
      <c r="G55" s="4" t="s">
        <v>194</v>
      </c>
      <c r="H55" s="5">
        <v>94.5</v>
      </c>
      <c r="I55" s="6"/>
    </row>
    <row r="56" spans="1:9" ht="15" customHeight="1">
      <c r="A56" s="3">
        <v>45861</v>
      </c>
      <c r="B56" s="4" t="s">
        <v>246</v>
      </c>
      <c r="C56" s="4" t="s">
        <v>247</v>
      </c>
      <c r="D56" s="4" t="s">
        <v>191</v>
      </c>
      <c r="E56" s="4" t="s">
        <v>192</v>
      </c>
      <c r="F56" s="4" t="s">
        <v>193</v>
      </c>
      <c r="G56" s="4" t="s">
        <v>194</v>
      </c>
      <c r="H56" s="5">
        <v>87</v>
      </c>
      <c r="I56" s="6"/>
    </row>
    <row r="57" spans="1:9" ht="15" customHeight="1">
      <c r="A57" s="3">
        <v>45904</v>
      </c>
      <c r="B57" s="4" t="s">
        <v>246</v>
      </c>
      <c r="C57" s="4" t="s">
        <v>247</v>
      </c>
      <c r="D57" s="4" t="s">
        <v>191</v>
      </c>
      <c r="E57" s="4" t="s">
        <v>192</v>
      </c>
      <c r="F57" s="4" t="s">
        <v>193</v>
      </c>
      <c r="G57" s="4" t="s">
        <v>194</v>
      </c>
      <c r="H57" s="5">
        <v>99</v>
      </c>
      <c r="I57" s="6"/>
    </row>
    <row r="58" spans="1:9" ht="15" customHeight="1">
      <c r="A58" s="3">
        <v>45908</v>
      </c>
      <c r="B58" s="4" t="s">
        <v>246</v>
      </c>
      <c r="C58" s="4" t="s">
        <v>247</v>
      </c>
      <c r="D58" s="4" t="s">
        <v>191</v>
      </c>
      <c r="E58" s="4" t="s">
        <v>192</v>
      </c>
      <c r="F58" s="4" t="s">
        <v>193</v>
      </c>
      <c r="G58" s="4" t="s">
        <v>194</v>
      </c>
      <c r="H58" s="5">
        <v>104.6</v>
      </c>
    </row>
    <row r="59" spans="1:9" ht="15" customHeight="1">
      <c r="A59" s="3">
        <v>45909</v>
      </c>
      <c r="B59" s="4" t="s">
        <v>246</v>
      </c>
      <c r="C59" s="4" t="s">
        <v>247</v>
      </c>
      <c r="D59" s="4" t="s">
        <v>191</v>
      </c>
      <c r="E59" s="4" t="s">
        <v>192</v>
      </c>
      <c r="F59" s="4" t="s">
        <v>193</v>
      </c>
      <c r="G59" s="4" t="s">
        <v>194</v>
      </c>
      <c r="H59" s="5">
        <v>91.6</v>
      </c>
      <c r="I59" s="6"/>
    </row>
    <row r="60" spans="1:9" ht="15" customHeight="1">
      <c r="A60" s="3">
        <v>45914</v>
      </c>
      <c r="B60" s="4" t="s">
        <v>246</v>
      </c>
      <c r="C60" s="4" t="s">
        <v>247</v>
      </c>
      <c r="D60" s="4" t="s">
        <v>191</v>
      </c>
      <c r="E60" s="4" t="s">
        <v>193</v>
      </c>
      <c r="F60" s="4" t="s">
        <v>192</v>
      </c>
      <c r="G60" s="4" t="s">
        <v>194</v>
      </c>
      <c r="H60" s="5">
        <v>100</v>
      </c>
      <c r="I60" s="6"/>
    </row>
    <row r="61" spans="1:9" ht="15" customHeight="1">
      <c r="A61" s="3">
        <v>45916</v>
      </c>
      <c r="B61" s="4" t="s">
        <v>246</v>
      </c>
      <c r="C61" s="4" t="s">
        <v>247</v>
      </c>
      <c r="D61" s="4" t="s">
        <v>191</v>
      </c>
      <c r="E61" s="4" t="s">
        <v>192</v>
      </c>
      <c r="F61" s="4" t="s">
        <v>193</v>
      </c>
      <c r="G61" s="4" t="s">
        <v>194</v>
      </c>
      <c r="H61" s="5">
        <v>171</v>
      </c>
      <c r="I61" s="6"/>
    </row>
    <row r="62" spans="1:9" ht="15" customHeight="1">
      <c r="A62" s="3">
        <v>45917</v>
      </c>
      <c r="B62" s="4" t="s">
        <v>246</v>
      </c>
      <c r="C62" s="4" t="s">
        <v>247</v>
      </c>
      <c r="D62" s="4" t="s">
        <v>191</v>
      </c>
      <c r="E62" s="4" t="s">
        <v>192</v>
      </c>
      <c r="F62" s="4" t="s">
        <v>193</v>
      </c>
      <c r="G62" s="4" t="s">
        <v>194</v>
      </c>
      <c r="H62" s="5">
        <v>81.599999999999994</v>
      </c>
      <c r="I62" s="6"/>
    </row>
    <row r="63" spans="1:9" ht="15" customHeight="1">
      <c r="A63" s="3">
        <v>45922</v>
      </c>
      <c r="B63" s="4" t="s">
        <v>246</v>
      </c>
      <c r="C63" s="4" t="s">
        <v>247</v>
      </c>
      <c r="D63" s="4" t="s">
        <v>191</v>
      </c>
      <c r="E63" s="4" t="s">
        <v>192</v>
      </c>
      <c r="F63" s="4" t="s">
        <v>193</v>
      </c>
      <c r="G63" s="4" t="s">
        <v>194</v>
      </c>
      <c r="H63" s="5">
        <v>109.7</v>
      </c>
      <c r="I63" s="6"/>
    </row>
    <row r="64" spans="1:9" ht="15" customHeight="1">
      <c r="A64" s="3">
        <v>45923</v>
      </c>
      <c r="B64" s="4" t="s">
        <v>246</v>
      </c>
      <c r="C64" s="4" t="s">
        <v>247</v>
      </c>
      <c r="D64" s="4" t="s">
        <v>191</v>
      </c>
      <c r="E64" s="4" t="s">
        <v>192</v>
      </c>
      <c r="F64" s="4" t="s">
        <v>193</v>
      </c>
      <c r="G64" s="4" t="s">
        <v>194</v>
      </c>
      <c r="H64" s="5">
        <v>114</v>
      </c>
      <c r="I64" s="6"/>
    </row>
    <row r="65" spans="1:9" ht="15" customHeight="1">
      <c r="A65" s="3">
        <v>45923</v>
      </c>
      <c r="B65" s="4" t="s">
        <v>246</v>
      </c>
      <c r="C65" s="4" t="s">
        <v>247</v>
      </c>
      <c r="D65" s="4" t="s">
        <v>198</v>
      </c>
      <c r="E65" s="4" t="s">
        <v>192</v>
      </c>
      <c r="F65" s="4" t="s">
        <v>213</v>
      </c>
      <c r="G65" s="4" t="s">
        <v>214</v>
      </c>
      <c r="H65" s="5">
        <v>95</v>
      </c>
      <c r="I65" s="6"/>
    </row>
    <row r="66" spans="1:9" ht="15" customHeight="1">
      <c r="A66" s="8">
        <v>45900</v>
      </c>
      <c r="B66" s="4" t="s">
        <v>248</v>
      </c>
      <c r="C66" s="4" t="s">
        <v>249</v>
      </c>
      <c r="D66" s="4" t="s">
        <v>243</v>
      </c>
      <c r="E66" s="9" t="s">
        <v>192</v>
      </c>
      <c r="F66" s="9" t="s">
        <v>213</v>
      </c>
      <c r="G66" s="9" t="s">
        <v>216</v>
      </c>
      <c r="H66" s="10">
        <v>281.18</v>
      </c>
      <c r="I66" s="6"/>
    </row>
    <row r="67" spans="1:9" ht="15" customHeight="1">
      <c r="A67" s="3">
        <v>45914</v>
      </c>
      <c r="B67" s="4" t="s">
        <v>248</v>
      </c>
      <c r="C67" s="4" t="s">
        <v>249</v>
      </c>
      <c r="D67" s="4" t="s">
        <v>191</v>
      </c>
      <c r="E67" s="4" t="s">
        <v>192</v>
      </c>
      <c r="F67" s="4" t="s">
        <v>193</v>
      </c>
      <c r="G67" s="4" t="s">
        <v>194</v>
      </c>
      <c r="H67" s="5">
        <v>84.5</v>
      </c>
      <c r="I67" s="6"/>
    </row>
    <row r="68" spans="1:9" ht="15" customHeight="1">
      <c r="A68" s="8">
        <v>45914</v>
      </c>
      <c r="B68" s="4" t="s">
        <v>248</v>
      </c>
      <c r="C68" s="4" t="s">
        <v>249</v>
      </c>
      <c r="D68" s="4" t="s">
        <v>198</v>
      </c>
      <c r="E68" s="9" t="s">
        <v>193</v>
      </c>
      <c r="F68" s="4" t="s">
        <v>250</v>
      </c>
      <c r="G68" s="4" t="s">
        <v>251</v>
      </c>
      <c r="H68" s="10">
        <v>147.03</v>
      </c>
      <c r="I68" s="6"/>
    </row>
    <row r="69" spans="1:9" ht="15" customHeight="1">
      <c r="A69" s="3">
        <v>45951</v>
      </c>
      <c r="B69" s="4" t="s">
        <v>248</v>
      </c>
      <c r="C69" s="4" t="s">
        <v>249</v>
      </c>
      <c r="D69" s="4" t="s">
        <v>191</v>
      </c>
      <c r="E69" s="4" t="s">
        <v>192</v>
      </c>
      <c r="F69" s="4" t="s">
        <v>193</v>
      </c>
      <c r="G69" s="4" t="s">
        <v>194</v>
      </c>
      <c r="H69" s="5">
        <v>105.4</v>
      </c>
    </row>
    <row r="70" spans="1:9" ht="15" customHeight="1">
      <c r="A70" s="3">
        <v>45956</v>
      </c>
      <c r="B70" s="4" t="s">
        <v>248</v>
      </c>
      <c r="C70" s="4" t="s">
        <v>249</v>
      </c>
      <c r="D70" s="4" t="s">
        <v>191</v>
      </c>
      <c r="E70" s="4" t="s">
        <v>192</v>
      </c>
      <c r="F70" s="4" t="s">
        <v>193</v>
      </c>
      <c r="G70" s="4" t="s">
        <v>194</v>
      </c>
      <c r="H70" s="5">
        <v>84.3</v>
      </c>
      <c r="I70" s="6"/>
    </row>
    <row r="71" spans="1:9" ht="15" customHeight="1">
      <c r="A71" s="8">
        <v>45958</v>
      </c>
      <c r="B71" s="4" t="s">
        <v>248</v>
      </c>
      <c r="C71" s="4" t="s">
        <v>249</v>
      </c>
      <c r="D71" s="4" t="s">
        <v>191</v>
      </c>
      <c r="E71" s="9" t="s">
        <v>192</v>
      </c>
      <c r="F71" s="9" t="s">
        <v>193</v>
      </c>
      <c r="G71" s="4" t="s">
        <v>194</v>
      </c>
      <c r="H71" s="10">
        <v>130.6</v>
      </c>
      <c r="I71" s="6"/>
    </row>
    <row r="72" spans="1:9" ht="15" customHeight="1">
      <c r="A72" s="3">
        <v>45959</v>
      </c>
      <c r="B72" s="4" t="s">
        <v>248</v>
      </c>
      <c r="C72" s="4" t="s">
        <v>249</v>
      </c>
      <c r="D72" s="4" t="s">
        <v>191</v>
      </c>
      <c r="E72" s="4" t="s">
        <v>193</v>
      </c>
      <c r="F72" s="4" t="s">
        <v>192</v>
      </c>
      <c r="G72" s="4" t="s">
        <v>194</v>
      </c>
      <c r="H72" s="5">
        <v>95.3</v>
      </c>
      <c r="I72" s="6"/>
    </row>
    <row r="73" spans="1:9" ht="15" customHeight="1">
      <c r="A73" s="3">
        <v>45823</v>
      </c>
      <c r="B73" s="4" t="s">
        <v>252</v>
      </c>
      <c r="C73" s="4" t="s">
        <v>253</v>
      </c>
      <c r="D73" s="4" t="s">
        <v>191</v>
      </c>
      <c r="E73" s="4" t="s">
        <v>193</v>
      </c>
      <c r="F73" s="4" t="s">
        <v>192</v>
      </c>
      <c r="G73" s="4" t="s">
        <v>194</v>
      </c>
      <c r="H73" s="5">
        <v>84</v>
      </c>
      <c r="I73" s="6"/>
    </row>
    <row r="74" spans="1:9" ht="15" customHeight="1">
      <c r="A74" s="3">
        <v>45844</v>
      </c>
      <c r="B74" s="4" t="s">
        <v>252</v>
      </c>
      <c r="C74" s="4" t="s">
        <v>253</v>
      </c>
      <c r="D74" s="4" t="s">
        <v>191</v>
      </c>
      <c r="E74" s="4" t="s">
        <v>193</v>
      </c>
      <c r="F74" s="4" t="s">
        <v>192</v>
      </c>
      <c r="G74" s="4" t="s">
        <v>194</v>
      </c>
      <c r="H74" s="5">
        <v>99</v>
      </c>
      <c r="I74" s="6"/>
    </row>
    <row r="75" spans="1:9" ht="15" customHeight="1">
      <c r="A75" s="8">
        <v>45747</v>
      </c>
      <c r="B75" s="4" t="s">
        <v>254</v>
      </c>
      <c r="C75" s="4" t="s">
        <v>255</v>
      </c>
      <c r="D75" s="4" t="s">
        <v>198</v>
      </c>
      <c r="E75" s="9" t="s">
        <v>192</v>
      </c>
      <c r="F75" s="9" t="s">
        <v>256</v>
      </c>
      <c r="G75" s="9" t="s">
        <v>194</v>
      </c>
      <c r="H75" s="10">
        <v>117.45</v>
      </c>
      <c r="I75" s="6"/>
    </row>
    <row r="76" spans="1:9" ht="15" customHeight="1">
      <c r="A76" s="8">
        <v>45770</v>
      </c>
      <c r="B76" s="4" t="s">
        <v>254</v>
      </c>
      <c r="C76" s="4" t="s">
        <v>255</v>
      </c>
      <c r="D76" s="4" t="s">
        <v>191</v>
      </c>
      <c r="E76" s="9" t="s">
        <v>192</v>
      </c>
      <c r="F76" s="9" t="s">
        <v>193</v>
      </c>
      <c r="G76" s="4" t="s">
        <v>194</v>
      </c>
      <c r="H76" s="10">
        <v>87</v>
      </c>
      <c r="I76" s="6"/>
    </row>
    <row r="77" spans="1:9" ht="15" customHeight="1">
      <c r="A77" s="8">
        <v>45825</v>
      </c>
      <c r="B77" s="4" t="s">
        <v>254</v>
      </c>
      <c r="C77" s="4" t="s">
        <v>255</v>
      </c>
      <c r="D77" s="4" t="s">
        <v>191</v>
      </c>
      <c r="E77" s="9" t="s">
        <v>192</v>
      </c>
      <c r="F77" s="9" t="s">
        <v>193</v>
      </c>
      <c r="G77" s="4" t="s">
        <v>194</v>
      </c>
      <c r="H77" s="10">
        <v>87</v>
      </c>
      <c r="I77" s="6"/>
    </row>
    <row r="78" spans="1:9" ht="15" customHeight="1">
      <c r="A78" s="3">
        <v>45823</v>
      </c>
      <c r="B78" s="4" t="s">
        <v>254</v>
      </c>
      <c r="C78" s="4" t="s">
        <v>255</v>
      </c>
      <c r="D78" s="4" t="s">
        <v>198</v>
      </c>
      <c r="E78" s="4" t="s">
        <v>192</v>
      </c>
      <c r="F78" s="4" t="s">
        <v>202</v>
      </c>
      <c r="G78" s="4" t="s">
        <v>200</v>
      </c>
      <c r="H78" s="5">
        <v>119</v>
      </c>
      <c r="I78" s="6"/>
    </row>
    <row r="79" spans="1:9" ht="15" customHeight="1">
      <c r="A79" s="3">
        <v>45853</v>
      </c>
      <c r="B79" s="4" t="s">
        <v>254</v>
      </c>
      <c r="C79" s="4" t="s">
        <v>255</v>
      </c>
      <c r="D79" s="4" t="s">
        <v>198</v>
      </c>
      <c r="E79" s="4" t="s">
        <v>192</v>
      </c>
      <c r="F79" s="4" t="s">
        <v>202</v>
      </c>
      <c r="G79" s="4" t="s">
        <v>200</v>
      </c>
      <c r="H79" s="5">
        <v>81</v>
      </c>
      <c r="I79" s="6"/>
    </row>
    <row r="80" spans="1:9" ht="15" customHeight="1">
      <c r="A80" s="3">
        <v>45958</v>
      </c>
      <c r="B80" s="4" t="s">
        <v>254</v>
      </c>
      <c r="C80" s="4" t="s">
        <v>255</v>
      </c>
      <c r="D80" s="4" t="s">
        <v>191</v>
      </c>
      <c r="E80" s="4" t="s">
        <v>192</v>
      </c>
      <c r="F80" s="4" t="s">
        <v>193</v>
      </c>
      <c r="G80" s="4" t="s">
        <v>194</v>
      </c>
      <c r="H80" s="5">
        <v>129.5</v>
      </c>
      <c r="I80" s="6"/>
    </row>
    <row r="81" spans="1:13" ht="15" customHeight="1">
      <c r="A81" s="3">
        <v>45810</v>
      </c>
      <c r="B81" s="4" t="s">
        <v>254</v>
      </c>
      <c r="C81" s="4" t="s">
        <v>255</v>
      </c>
      <c r="D81" s="4" t="s">
        <v>198</v>
      </c>
      <c r="E81" s="4" t="s">
        <v>192</v>
      </c>
      <c r="F81" s="4" t="s">
        <v>202</v>
      </c>
      <c r="G81" s="4" t="s">
        <v>194</v>
      </c>
      <c r="H81" s="5">
        <v>127.46</v>
      </c>
      <c r="I81" s="6"/>
    </row>
    <row r="82" spans="1:13" ht="15" customHeight="1">
      <c r="A82" s="3">
        <v>45812</v>
      </c>
      <c r="B82" s="4" t="s">
        <v>257</v>
      </c>
      <c r="C82" s="4" t="s">
        <v>253</v>
      </c>
      <c r="D82" s="4" t="s">
        <v>191</v>
      </c>
      <c r="E82" s="4" t="s">
        <v>192</v>
      </c>
      <c r="F82" s="4" t="s">
        <v>193</v>
      </c>
      <c r="G82" s="4" t="s">
        <v>194</v>
      </c>
      <c r="H82" s="5">
        <v>87</v>
      </c>
      <c r="I82" s="6"/>
    </row>
    <row r="83" spans="1:13" ht="15" customHeight="1">
      <c r="A83" s="3">
        <v>45810</v>
      </c>
      <c r="B83" s="4" t="s">
        <v>257</v>
      </c>
      <c r="C83" s="4" t="s">
        <v>253</v>
      </c>
      <c r="D83" s="4" t="s">
        <v>243</v>
      </c>
      <c r="E83" s="4" t="s">
        <v>192</v>
      </c>
      <c r="F83" s="4" t="s">
        <v>245</v>
      </c>
      <c r="G83" s="4" t="s">
        <v>194</v>
      </c>
      <c r="H83" s="5">
        <v>124.34</v>
      </c>
      <c r="I83" s="6"/>
    </row>
    <row r="84" spans="1:13" ht="15" customHeight="1">
      <c r="A84" s="3">
        <v>45820</v>
      </c>
      <c r="B84" s="4" t="s">
        <v>257</v>
      </c>
      <c r="C84" s="4" t="s">
        <v>253</v>
      </c>
      <c r="D84" s="4" t="s">
        <v>191</v>
      </c>
      <c r="E84" s="4" t="s">
        <v>193</v>
      </c>
      <c r="F84" s="4" t="s">
        <v>192</v>
      </c>
      <c r="G84" s="4" t="s">
        <v>194</v>
      </c>
      <c r="H84" s="5">
        <v>83.1</v>
      </c>
      <c r="I84" s="6"/>
    </row>
    <row r="85" spans="1:13" ht="15" customHeight="1">
      <c r="A85" s="3">
        <v>45824</v>
      </c>
      <c r="B85" s="4" t="s">
        <v>257</v>
      </c>
      <c r="C85" s="4" t="s">
        <v>253</v>
      </c>
      <c r="D85" s="4" t="s">
        <v>198</v>
      </c>
      <c r="E85" s="4" t="s">
        <v>192</v>
      </c>
      <c r="F85" s="4" t="s">
        <v>202</v>
      </c>
      <c r="G85" s="4" t="s">
        <v>200</v>
      </c>
      <c r="H85" s="5">
        <v>134.5</v>
      </c>
      <c r="I85" s="6"/>
    </row>
    <row r="86" spans="1:13" ht="15" customHeight="1">
      <c r="A86" s="3">
        <v>45910</v>
      </c>
      <c r="B86" s="4" t="s">
        <v>257</v>
      </c>
      <c r="C86" s="4" t="s">
        <v>253</v>
      </c>
      <c r="D86" s="4" t="s">
        <v>191</v>
      </c>
      <c r="E86" s="4" t="s">
        <v>192</v>
      </c>
      <c r="F86" s="4" t="s">
        <v>193</v>
      </c>
      <c r="G86" s="4" t="s">
        <v>194</v>
      </c>
      <c r="H86" s="5">
        <v>99</v>
      </c>
      <c r="I86" s="6"/>
    </row>
    <row r="87" spans="1:13" ht="15" customHeight="1">
      <c r="A87" s="3">
        <v>45910</v>
      </c>
      <c r="B87" s="4" t="s">
        <v>257</v>
      </c>
      <c r="C87" s="4" t="s">
        <v>253</v>
      </c>
      <c r="D87" s="4" t="s">
        <v>198</v>
      </c>
      <c r="E87" s="4" t="s">
        <v>192</v>
      </c>
      <c r="F87" s="4" t="s">
        <v>199</v>
      </c>
      <c r="G87" s="4" t="s">
        <v>200</v>
      </c>
      <c r="H87" s="5">
        <v>99</v>
      </c>
    </row>
    <row r="88" spans="1:13" ht="15" customHeight="1">
      <c r="A88" s="3">
        <v>45915</v>
      </c>
      <c r="B88" s="4" t="s">
        <v>257</v>
      </c>
      <c r="C88" s="4" t="s">
        <v>253</v>
      </c>
      <c r="D88" s="4" t="s">
        <v>191</v>
      </c>
      <c r="E88" s="4" t="s">
        <v>193</v>
      </c>
      <c r="F88" s="4" t="s">
        <v>192</v>
      </c>
      <c r="G88" s="4" t="s">
        <v>194</v>
      </c>
      <c r="H88" s="5">
        <v>159</v>
      </c>
      <c r="I88" s="6"/>
    </row>
    <row r="89" spans="1:13" ht="15" customHeight="1">
      <c r="A89" s="3">
        <v>45923</v>
      </c>
      <c r="B89" s="4" t="s">
        <v>257</v>
      </c>
      <c r="C89" s="4" t="s">
        <v>253</v>
      </c>
      <c r="D89" s="4" t="s">
        <v>191</v>
      </c>
      <c r="E89" s="4" t="s">
        <v>192</v>
      </c>
      <c r="F89" s="4" t="s">
        <v>193</v>
      </c>
      <c r="G89" s="4" t="s">
        <v>194</v>
      </c>
      <c r="H89" s="5">
        <v>98.4</v>
      </c>
      <c r="I89" s="6"/>
    </row>
    <row r="90" spans="1:13" ht="15" customHeight="1">
      <c r="A90" s="3">
        <v>45930</v>
      </c>
      <c r="B90" s="4" t="s">
        <v>257</v>
      </c>
      <c r="C90" s="4" t="s">
        <v>253</v>
      </c>
      <c r="D90" s="4" t="s">
        <v>191</v>
      </c>
      <c r="E90" s="4" t="s">
        <v>192</v>
      </c>
      <c r="F90" s="4" t="s">
        <v>193</v>
      </c>
      <c r="G90" s="4" t="s">
        <v>194</v>
      </c>
      <c r="H90" s="5">
        <v>99</v>
      </c>
      <c r="I90" s="6"/>
    </row>
    <row r="91" spans="1:13" ht="15" customHeight="1">
      <c r="A91" s="3">
        <v>45944</v>
      </c>
      <c r="B91" s="4" t="s">
        <v>257</v>
      </c>
      <c r="C91" s="4" t="s">
        <v>253</v>
      </c>
      <c r="D91" s="4" t="s">
        <v>191</v>
      </c>
      <c r="E91" s="4" t="s">
        <v>192</v>
      </c>
      <c r="F91" s="4" t="s">
        <v>193</v>
      </c>
      <c r="G91" s="4" t="s">
        <v>251</v>
      </c>
      <c r="H91" s="5">
        <v>87</v>
      </c>
      <c r="I91" s="6"/>
    </row>
    <row r="92" spans="1:13" s="20" customFormat="1" ht="15" customHeight="1">
      <c r="A92" s="18"/>
      <c r="B92" s="18"/>
      <c r="C92" s="18"/>
      <c r="D92" s="18"/>
      <c r="E92" s="18"/>
      <c r="F92" s="18"/>
      <c r="G92" s="18"/>
      <c r="H92" s="19"/>
      <c r="I92" s="19"/>
      <c r="L92" s="7"/>
      <c r="M92" s="7"/>
    </row>
    <row r="93" spans="1:13" ht="15" customHeight="1"/>
    <row r="94" spans="1:13" ht="15" customHeight="1"/>
    <row r="95" spans="1:13" ht="15" customHeight="1"/>
    <row r="96" spans="1:13" ht="15" customHeight="1"/>
    <row r="97" spans="1:13" ht="15" customHeight="1"/>
    <row r="98" spans="1:13" ht="15" customHeight="1">
      <c r="A98" s="21"/>
      <c r="B98" s="21"/>
      <c r="C98" s="21"/>
      <c r="D98" s="21"/>
      <c r="E98" s="21"/>
    </row>
    <row r="99" spans="1:13" s="22" customFormat="1" ht="15" customHeight="1">
      <c r="A99" s="7"/>
      <c r="B99" s="7"/>
      <c r="C99" s="7"/>
      <c r="D99" s="7"/>
      <c r="E99" s="7"/>
      <c r="F99" s="7"/>
      <c r="G99" s="7"/>
      <c r="H99" s="11"/>
      <c r="I99" s="11"/>
      <c r="L99" s="7"/>
      <c r="M99" s="7"/>
    </row>
    <row r="100" spans="1:13" s="22" customFormat="1" ht="15" customHeight="1">
      <c r="A100" s="7"/>
      <c r="B100" s="7"/>
      <c r="C100" s="7"/>
      <c r="D100" s="7"/>
      <c r="E100" s="7"/>
      <c r="F100" s="7"/>
      <c r="G100" s="7"/>
      <c r="H100" s="11"/>
      <c r="I100" s="11"/>
      <c r="L100" s="7"/>
      <c r="M100" s="7"/>
    </row>
    <row r="101" spans="1:13" s="22" customFormat="1" ht="15" customHeight="1">
      <c r="A101" s="7"/>
      <c r="B101" s="7"/>
      <c r="C101" s="7"/>
      <c r="D101" s="7"/>
      <c r="E101" s="7"/>
      <c r="F101" s="7"/>
      <c r="G101" s="7"/>
      <c r="H101" s="11"/>
      <c r="I101" s="11"/>
      <c r="L101" s="7"/>
      <c r="M101" s="7"/>
    </row>
    <row r="102" spans="1:13" s="22" customFormat="1" ht="15" customHeight="1">
      <c r="A102" s="7"/>
      <c r="B102" s="7"/>
      <c r="C102" s="7"/>
      <c r="D102" s="7"/>
      <c r="E102" s="7"/>
      <c r="F102" s="7"/>
      <c r="G102" s="7"/>
      <c r="H102" s="11"/>
      <c r="I102" s="11"/>
      <c r="L102" s="7"/>
      <c r="M102" s="7"/>
    </row>
    <row r="103" spans="1:13" s="22" customFormat="1" ht="15" customHeight="1">
      <c r="A103" s="7"/>
      <c r="B103" s="7"/>
      <c r="C103" s="7"/>
      <c r="D103" s="7"/>
      <c r="E103" s="7"/>
      <c r="F103" s="7"/>
      <c r="G103" s="7"/>
      <c r="H103" s="11"/>
      <c r="I103" s="11"/>
      <c r="L103" s="7"/>
      <c r="M103" s="7"/>
    </row>
    <row r="104" spans="1:13" s="22" customFormat="1" ht="15" customHeight="1">
      <c r="A104" s="21"/>
      <c r="B104" s="7"/>
      <c r="C104" s="7"/>
      <c r="D104" s="7"/>
      <c r="E104" s="7"/>
      <c r="F104" s="7"/>
      <c r="G104" s="7"/>
      <c r="H104" s="11"/>
      <c r="I104" s="11"/>
      <c r="L104" s="7"/>
      <c r="M104" s="7"/>
    </row>
    <row r="105" spans="1:13" s="22" customFormat="1" ht="15" customHeight="1">
      <c r="A105" s="7"/>
      <c r="B105" s="7"/>
      <c r="C105" s="7"/>
      <c r="D105" s="7"/>
      <c r="E105" s="7"/>
      <c r="F105" s="7"/>
      <c r="G105" s="7"/>
      <c r="H105" s="11"/>
      <c r="I105" s="11"/>
      <c r="L105" s="7"/>
      <c r="M105" s="7"/>
    </row>
    <row r="106" spans="1:13" s="22" customFormat="1" ht="15" customHeight="1">
      <c r="A106" s="7"/>
      <c r="B106" s="7"/>
      <c r="C106" s="7"/>
      <c r="D106" s="7"/>
      <c r="E106" s="7"/>
      <c r="F106" s="7"/>
      <c r="G106" s="7"/>
      <c r="H106" s="11"/>
      <c r="I106" s="11"/>
      <c r="L106" s="7"/>
      <c r="M106" s="7"/>
    </row>
    <row r="107" spans="1:13" s="22" customFormat="1" ht="15" customHeight="1">
      <c r="A107" s="7"/>
      <c r="B107" s="7"/>
      <c r="C107" s="7"/>
      <c r="D107" s="7"/>
      <c r="E107" s="7"/>
      <c r="F107" s="7"/>
      <c r="G107" s="7"/>
      <c r="H107" s="11"/>
      <c r="I107" s="11"/>
      <c r="L107" s="7"/>
      <c r="M107" s="7"/>
    </row>
    <row r="108" spans="1:13" s="22" customFormat="1" ht="15" customHeight="1">
      <c r="A108" s="7"/>
      <c r="B108" s="7"/>
      <c r="C108" s="7"/>
      <c r="D108" s="7"/>
      <c r="E108" s="7"/>
      <c r="F108" s="7"/>
      <c r="G108" s="7"/>
      <c r="H108" s="11"/>
      <c r="I108" s="11"/>
      <c r="L108" s="7"/>
      <c r="M108" s="7"/>
    </row>
    <row r="109" spans="1:13" s="22" customFormat="1" ht="15" customHeight="1">
      <c r="A109" s="7"/>
      <c r="B109" s="7"/>
      <c r="C109" s="7"/>
      <c r="D109" s="7"/>
      <c r="E109" s="7"/>
      <c r="F109" s="7"/>
      <c r="G109" s="7"/>
      <c r="H109" s="11"/>
      <c r="I109" s="11"/>
      <c r="L109" s="7"/>
      <c r="M109" s="7"/>
    </row>
    <row r="110" spans="1:13" s="22" customFormat="1" ht="15" customHeight="1">
      <c r="A110" s="7"/>
      <c r="B110" s="7"/>
      <c r="C110" s="7"/>
      <c r="D110" s="7"/>
      <c r="E110" s="7"/>
      <c r="F110" s="7"/>
      <c r="G110" s="7"/>
      <c r="H110" s="11"/>
      <c r="I110" s="11"/>
      <c r="L110" s="7"/>
      <c r="M110" s="7"/>
    </row>
    <row r="111" spans="1:13" s="22" customFormat="1" ht="15" customHeight="1">
      <c r="A111" s="21"/>
      <c r="B111" s="7"/>
      <c r="C111" s="7"/>
      <c r="D111" s="7"/>
      <c r="E111" s="7"/>
      <c r="F111" s="7"/>
      <c r="G111" s="7"/>
      <c r="H111" s="11"/>
      <c r="I111" s="11"/>
      <c r="L111" s="7"/>
      <c r="M111" s="7"/>
    </row>
    <row r="112" spans="1:13" s="22" customFormat="1" ht="15" customHeight="1">
      <c r="A112" s="7"/>
      <c r="B112" s="7"/>
      <c r="C112" s="7"/>
      <c r="D112" s="7"/>
      <c r="E112" s="7"/>
      <c r="F112" s="7"/>
      <c r="G112" s="7"/>
      <c r="H112" s="11"/>
      <c r="I112" s="11"/>
      <c r="L112" s="7"/>
      <c r="M112" s="7"/>
    </row>
    <row r="113" spans="1:13" s="22" customFormat="1" ht="15" customHeight="1">
      <c r="A113" s="7"/>
      <c r="B113" s="7"/>
      <c r="C113" s="7"/>
      <c r="D113" s="7"/>
      <c r="E113" s="7"/>
      <c r="F113" s="7"/>
      <c r="G113" s="7"/>
      <c r="H113" s="11"/>
      <c r="I113" s="11"/>
      <c r="L113" s="7"/>
      <c r="M113" s="7"/>
    </row>
    <row r="114" spans="1:13" s="22" customFormat="1" ht="15" customHeight="1">
      <c r="A114" s="7"/>
      <c r="B114" s="7"/>
      <c r="C114" s="7"/>
      <c r="D114" s="7"/>
      <c r="E114" s="7"/>
      <c r="F114" s="7"/>
      <c r="G114" s="7"/>
      <c r="H114" s="11"/>
      <c r="I114" s="11"/>
      <c r="L114" s="7"/>
      <c r="M114" s="7"/>
    </row>
    <row r="115" spans="1:13" s="22" customFormat="1" ht="15" customHeight="1">
      <c r="A115" s="7"/>
      <c r="B115" s="7"/>
      <c r="C115" s="7"/>
      <c r="D115" s="7"/>
      <c r="E115" s="7"/>
      <c r="F115" s="7"/>
      <c r="G115" s="7"/>
      <c r="H115" s="11"/>
      <c r="I115" s="11"/>
      <c r="L115" s="7"/>
      <c r="M115" s="7"/>
    </row>
    <row r="116" spans="1:13" s="22" customFormat="1" ht="15" customHeight="1">
      <c r="A116" s="7"/>
      <c r="B116" s="7"/>
      <c r="C116" s="7"/>
      <c r="D116" s="7"/>
      <c r="E116" s="7"/>
      <c r="F116" s="7"/>
      <c r="G116" s="7"/>
      <c r="H116" s="11"/>
      <c r="I116" s="11"/>
      <c r="L116" s="7"/>
      <c r="M116" s="7"/>
    </row>
    <row r="117" spans="1:13" s="22" customFormat="1" ht="15" customHeight="1">
      <c r="A117" s="7"/>
      <c r="B117" s="7"/>
      <c r="C117" s="7"/>
      <c r="D117" s="7"/>
      <c r="E117" s="7"/>
      <c r="F117" s="7"/>
      <c r="G117" s="7"/>
      <c r="H117" s="11"/>
      <c r="I117" s="11"/>
      <c r="L117" s="7"/>
      <c r="M117" s="7"/>
    </row>
    <row r="118" spans="1:13" s="22" customFormat="1" ht="15" customHeight="1">
      <c r="A118" s="7"/>
      <c r="B118" s="7"/>
      <c r="C118" s="7"/>
      <c r="D118" s="7"/>
      <c r="E118" s="7"/>
      <c r="F118" s="7"/>
      <c r="G118" s="7"/>
      <c r="H118" s="11"/>
      <c r="I118" s="11"/>
      <c r="L118" s="7"/>
      <c r="M118" s="7"/>
    </row>
    <row r="119" spans="1:13" s="22" customFormat="1" ht="15" customHeight="1">
      <c r="A119" s="7"/>
      <c r="B119" s="7"/>
      <c r="C119" s="7"/>
      <c r="D119" s="7"/>
      <c r="E119" s="7"/>
      <c r="F119" s="7"/>
      <c r="G119" s="7"/>
      <c r="H119" s="11"/>
      <c r="I119" s="11"/>
      <c r="L119" s="7"/>
      <c r="M119" s="7"/>
    </row>
    <row r="120" spans="1:13" s="22" customFormat="1" ht="15" customHeight="1">
      <c r="A120" s="7"/>
      <c r="B120" s="7"/>
      <c r="C120" s="7"/>
      <c r="D120" s="7"/>
      <c r="E120" s="7"/>
      <c r="F120" s="7"/>
      <c r="G120" s="7"/>
      <c r="H120" s="11"/>
      <c r="I120" s="11"/>
      <c r="L120" s="7"/>
      <c r="M120" s="7"/>
    </row>
    <row r="121" spans="1:13" s="23" customFormat="1" ht="15" customHeight="1">
      <c r="A121" s="7"/>
      <c r="B121" s="7"/>
      <c r="C121" s="7"/>
      <c r="D121" s="7"/>
      <c r="E121" s="7"/>
      <c r="F121" s="7"/>
      <c r="G121" s="7"/>
      <c r="H121" s="11"/>
      <c r="I121" s="11"/>
      <c r="L121" s="24"/>
      <c r="M121" s="24"/>
    </row>
    <row r="122" spans="1:13" s="23" customFormat="1" ht="15" customHeight="1">
      <c r="A122" s="7"/>
      <c r="B122" s="7"/>
      <c r="C122" s="7"/>
      <c r="D122" s="7"/>
      <c r="E122" s="7"/>
      <c r="F122" s="7"/>
      <c r="G122" s="7"/>
      <c r="H122" s="11"/>
      <c r="I122" s="11"/>
      <c r="L122" s="24"/>
      <c r="M122" s="24"/>
    </row>
    <row r="123" spans="1:13" s="23" customFormat="1" ht="15" customHeight="1">
      <c r="A123" s="7"/>
      <c r="B123" s="7"/>
      <c r="C123" s="7"/>
      <c r="D123" s="7"/>
      <c r="E123" s="7"/>
      <c r="F123" s="7"/>
      <c r="G123" s="7"/>
      <c r="H123" s="11"/>
      <c r="I123" s="11"/>
      <c r="L123" s="24"/>
      <c r="M123" s="24"/>
    </row>
    <row r="124" spans="1:13" s="23" customFormat="1" ht="15" customHeight="1">
      <c r="A124" s="7"/>
      <c r="B124" s="7"/>
      <c r="C124" s="7"/>
      <c r="D124" s="7"/>
      <c r="E124" s="7"/>
      <c r="F124" s="7"/>
      <c r="G124" s="7"/>
      <c r="H124" s="11"/>
      <c r="I124" s="11"/>
      <c r="L124" s="24"/>
      <c r="M124" s="24"/>
    </row>
    <row r="125" spans="1:13" s="23" customFormat="1" ht="15" customHeight="1">
      <c r="A125" s="7"/>
      <c r="B125" s="7"/>
      <c r="C125" s="7"/>
      <c r="D125" s="7"/>
      <c r="E125" s="7"/>
      <c r="F125" s="7"/>
      <c r="G125" s="7"/>
      <c r="H125" s="11"/>
      <c r="I125" s="11"/>
      <c r="L125" s="24"/>
      <c r="M125" s="24"/>
    </row>
    <row r="126" spans="1:13" s="23" customFormat="1" ht="15" customHeight="1">
      <c r="A126" s="7"/>
      <c r="B126" s="7"/>
      <c r="C126" s="7"/>
      <c r="D126" s="7"/>
      <c r="E126" s="7"/>
      <c r="F126" s="7"/>
      <c r="G126" s="7"/>
      <c r="H126" s="11"/>
      <c r="I126" s="11"/>
      <c r="L126" s="24"/>
      <c r="M126" s="24"/>
    </row>
    <row r="127" spans="1:13" s="23" customFormat="1" ht="15" customHeight="1">
      <c r="A127" s="7"/>
      <c r="B127" s="7"/>
      <c r="C127" s="7"/>
      <c r="D127" s="7"/>
      <c r="E127" s="7"/>
      <c r="F127" s="7"/>
      <c r="G127" s="7"/>
      <c r="H127" s="11"/>
      <c r="I127" s="11"/>
      <c r="L127" s="24"/>
      <c r="M127" s="24"/>
    </row>
    <row r="128" spans="1:13" s="23" customFormat="1" ht="15" customHeight="1">
      <c r="A128" s="7"/>
      <c r="B128" s="7"/>
      <c r="C128" s="7"/>
      <c r="D128" s="7"/>
      <c r="E128" s="7"/>
      <c r="F128" s="7"/>
      <c r="G128" s="7"/>
      <c r="H128" s="11"/>
      <c r="I128" s="11"/>
      <c r="L128" s="24"/>
      <c r="M128" s="24"/>
    </row>
    <row r="129" spans="1:13" s="23" customFormat="1" ht="15" customHeight="1">
      <c r="A129" s="7"/>
      <c r="B129" s="7"/>
      <c r="C129" s="7"/>
      <c r="D129" s="7"/>
      <c r="E129" s="7"/>
      <c r="F129" s="7"/>
      <c r="G129" s="7"/>
      <c r="H129" s="11"/>
      <c r="I129" s="11"/>
      <c r="L129" s="24"/>
      <c r="M129" s="24"/>
    </row>
    <row r="130" spans="1:13" s="23" customFormat="1" ht="15" customHeight="1">
      <c r="A130" s="7"/>
      <c r="B130" s="7"/>
      <c r="C130" s="7"/>
      <c r="D130" s="7"/>
      <c r="E130" s="7"/>
      <c r="F130" s="7"/>
      <c r="G130" s="7"/>
      <c r="H130" s="11"/>
      <c r="I130" s="11"/>
      <c r="L130" s="24"/>
      <c r="M130" s="24"/>
    </row>
    <row r="131" spans="1:13" s="23" customFormat="1" ht="15" customHeight="1">
      <c r="A131" s="7"/>
      <c r="B131" s="7"/>
      <c r="C131" s="7"/>
      <c r="D131" s="7"/>
      <c r="E131" s="7"/>
      <c r="F131" s="7"/>
      <c r="G131" s="7"/>
      <c r="H131" s="11"/>
      <c r="I131" s="11"/>
      <c r="L131" s="24"/>
      <c r="M131" s="24"/>
    </row>
    <row r="132" spans="1:13" s="23" customFormat="1" ht="15" customHeight="1">
      <c r="A132" s="7"/>
      <c r="B132" s="7"/>
      <c r="C132" s="7"/>
      <c r="D132" s="7"/>
      <c r="E132" s="7"/>
      <c r="F132" s="7"/>
      <c r="G132" s="7"/>
      <c r="H132" s="11"/>
      <c r="I132" s="11"/>
      <c r="L132" s="24"/>
      <c r="M132" s="24"/>
    </row>
    <row r="133" spans="1:13" s="23" customFormat="1" ht="15" customHeight="1">
      <c r="A133" s="7"/>
      <c r="B133" s="7"/>
      <c r="C133" s="7"/>
      <c r="D133" s="7"/>
      <c r="E133" s="7"/>
      <c r="F133" s="7"/>
      <c r="G133" s="7"/>
      <c r="H133" s="11"/>
      <c r="I133" s="11"/>
      <c r="L133" s="24"/>
      <c r="M133" s="24"/>
    </row>
    <row r="134" spans="1:13" s="23" customFormat="1" ht="15" customHeight="1">
      <c r="A134" s="7"/>
      <c r="B134" s="7"/>
      <c r="C134" s="7"/>
      <c r="D134" s="7"/>
      <c r="E134" s="7"/>
      <c r="F134" s="7"/>
      <c r="G134" s="7"/>
      <c r="H134" s="11"/>
      <c r="I134" s="11"/>
      <c r="L134" s="24"/>
      <c r="M134" s="24"/>
    </row>
    <row r="135" spans="1:13" s="23" customFormat="1" ht="15" customHeight="1">
      <c r="A135" s="7"/>
      <c r="B135" s="7"/>
      <c r="C135" s="7"/>
      <c r="D135" s="7"/>
      <c r="E135" s="7"/>
      <c r="F135" s="7"/>
      <c r="G135" s="7"/>
      <c r="H135" s="11"/>
      <c r="I135" s="11"/>
      <c r="L135" s="24"/>
      <c r="M135" s="24"/>
    </row>
    <row r="136" spans="1:13" s="23" customFormat="1" ht="15" customHeight="1">
      <c r="A136" s="7"/>
      <c r="B136" s="7"/>
      <c r="C136" s="7"/>
      <c r="D136" s="7"/>
      <c r="E136" s="7"/>
      <c r="F136" s="7"/>
      <c r="G136" s="7"/>
      <c r="H136" s="11"/>
      <c r="I136" s="11"/>
      <c r="L136" s="24"/>
      <c r="M136" s="24"/>
    </row>
    <row r="137" spans="1:13" s="23" customFormat="1" ht="15" customHeight="1">
      <c r="A137" s="7"/>
      <c r="B137" s="7"/>
      <c r="C137" s="7"/>
      <c r="D137" s="7"/>
      <c r="E137" s="7"/>
      <c r="F137" s="7"/>
      <c r="G137" s="7"/>
      <c r="H137" s="11"/>
      <c r="I137" s="11"/>
      <c r="L137" s="24"/>
      <c r="M137" s="24"/>
    </row>
    <row r="138" spans="1:13" s="23" customFormat="1" ht="15" customHeight="1">
      <c r="A138" s="7"/>
      <c r="B138" s="7"/>
      <c r="C138" s="7"/>
      <c r="D138" s="7"/>
      <c r="E138" s="7"/>
      <c r="F138" s="7"/>
      <c r="G138" s="7"/>
      <c r="H138" s="11"/>
      <c r="I138" s="11"/>
      <c r="L138" s="24"/>
      <c r="M138" s="24"/>
    </row>
    <row r="139" spans="1:13" s="23" customFormat="1" ht="15" customHeight="1">
      <c r="A139" s="7"/>
      <c r="B139" s="7"/>
      <c r="C139" s="7"/>
      <c r="D139" s="7"/>
      <c r="E139" s="7"/>
      <c r="F139" s="7"/>
      <c r="G139" s="7"/>
      <c r="H139" s="11"/>
      <c r="I139" s="11"/>
      <c r="L139" s="24"/>
      <c r="M139" s="24"/>
    </row>
    <row r="140" spans="1:13" s="23" customFormat="1" ht="15" customHeight="1">
      <c r="A140" s="7"/>
      <c r="B140" s="7"/>
      <c r="C140" s="7"/>
      <c r="D140" s="7"/>
      <c r="E140" s="7"/>
      <c r="F140" s="7"/>
      <c r="G140" s="7"/>
      <c r="H140" s="11"/>
      <c r="I140" s="11"/>
      <c r="L140" s="24"/>
      <c r="M140" s="24"/>
    </row>
    <row r="141" spans="1:13" s="23" customFormat="1" ht="15" customHeight="1">
      <c r="A141" s="7"/>
      <c r="B141" s="7"/>
      <c r="C141" s="7"/>
      <c r="D141" s="7"/>
      <c r="E141" s="7"/>
      <c r="F141" s="7"/>
      <c r="G141" s="7"/>
      <c r="H141" s="11"/>
      <c r="I141" s="11"/>
      <c r="L141" s="24"/>
      <c r="M141" s="24"/>
    </row>
    <row r="142" spans="1:13" s="23" customFormat="1" ht="15" customHeight="1">
      <c r="A142" s="7"/>
      <c r="B142" s="7"/>
      <c r="C142" s="7"/>
      <c r="D142" s="7"/>
      <c r="E142" s="7"/>
      <c r="F142" s="7"/>
      <c r="G142" s="7"/>
      <c r="H142" s="11"/>
      <c r="I142" s="11"/>
      <c r="L142" s="24"/>
      <c r="M142" s="24"/>
    </row>
    <row r="143" spans="1:13" s="23" customFormat="1" ht="15" customHeight="1">
      <c r="A143" s="7"/>
      <c r="B143" s="7"/>
      <c r="C143" s="7"/>
      <c r="D143" s="7"/>
      <c r="E143" s="7"/>
      <c r="F143" s="7"/>
      <c r="G143" s="7"/>
      <c r="H143" s="11"/>
      <c r="I143" s="11"/>
      <c r="L143" s="24"/>
      <c r="M143" s="24"/>
    </row>
    <row r="144" spans="1:13" s="23" customFormat="1" ht="15" customHeight="1">
      <c r="A144" s="7"/>
      <c r="B144" s="7"/>
      <c r="C144" s="7"/>
      <c r="D144" s="7"/>
      <c r="E144" s="7"/>
      <c r="F144" s="7"/>
      <c r="G144" s="7"/>
      <c r="H144" s="11"/>
      <c r="I144" s="11"/>
      <c r="L144" s="24"/>
      <c r="M144" s="24"/>
    </row>
    <row r="145" spans="1:13" s="23" customFormat="1" ht="15" customHeight="1">
      <c r="A145" s="7"/>
      <c r="B145" s="7"/>
      <c r="C145" s="7"/>
      <c r="D145" s="7"/>
      <c r="E145" s="7"/>
      <c r="F145" s="7"/>
      <c r="G145" s="7"/>
      <c r="H145" s="11"/>
      <c r="I145" s="11"/>
      <c r="L145" s="24"/>
      <c r="M145" s="24"/>
    </row>
    <row r="146" spans="1:13" s="23" customFormat="1" ht="15" customHeight="1">
      <c r="A146" s="7"/>
      <c r="B146" s="7"/>
      <c r="C146" s="7"/>
      <c r="D146" s="7"/>
      <c r="E146" s="7"/>
      <c r="F146" s="7"/>
      <c r="G146" s="7"/>
      <c r="H146" s="11"/>
      <c r="I146" s="11"/>
      <c r="L146" s="24"/>
      <c r="M146" s="24"/>
    </row>
    <row r="147" spans="1:13" s="23" customFormat="1" ht="15" customHeight="1">
      <c r="A147" s="7"/>
      <c r="B147" s="7"/>
      <c r="C147" s="7"/>
      <c r="D147" s="7"/>
      <c r="E147" s="7"/>
      <c r="F147" s="7"/>
      <c r="G147" s="7"/>
      <c r="H147" s="11"/>
      <c r="I147" s="11"/>
      <c r="L147" s="24"/>
      <c r="M147" s="24"/>
    </row>
    <row r="148" spans="1:13" s="23" customFormat="1" ht="15" customHeight="1">
      <c r="A148" s="7"/>
      <c r="B148" s="7"/>
      <c r="C148" s="7"/>
      <c r="D148" s="7"/>
      <c r="E148" s="7"/>
      <c r="F148" s="7"/>
      <c r="G148" s="7"/>
      <c r="H148" s="11"/>
      <c r="I148" s="11"/>
      <c r="L148" s="24"/>
      <c r="M148" s="24"/>
    </row>
    <row r="149" spans="1:13" s="23" customFormat="1" ht="15" customHeight="1">
      <c r="A149" s="7"/>
      <c r="B149" s="7"/>
      <c r="C149" s="7"/>
      <c r="D149" s="7"/>
      <c r="E149" s="7"/>
      <c r="F149" s="7"/>
      <c r="G149" s="7"/>
      <c r="H149" s="11"/>
      <c r="I149" s="11"/>
      <c r="L149" s="24"/>
      <c r="M149" s="24"/>
    </row>
    <row r="150" spans="1:13" s="23" customFormat="1" ht="15" customHeight="1">
      <c r="A150" s="7"/>
      <c r="B150" s="7"/>
      <c r="C150" s="7"/>
      <c r="D150" s="7"/>
      <c r="E150" s="7"/>
      <c r="F150" s="7"/>
      <c r="G150" s="7"/>
      <c r="H150" s="11"/>
      <c r="I150" s="11"/>
      <c r="L150" s="24"/>
      <c r="M150" s="24"/>
    </row>
    <row r="151" spans="1:13" s="23" customFormat="1" ht="15" customHeight="1">
      <c r="A151" s="7"/>
      <c r="B151" s="7"/>
      <c r="C151" s="7"/>
      <c r="D151" s="7"/>
      <c r="E151" s="7"/>
      <c r="F151" s="7"/>
      <c r="G151" s="7"/>
      <c r="H151" s="11"/>
      <c r="I151" s="11"/>
      <c r="L151" s="24"/>
      <c r="M151" s="24"/>
    </row>
    <row r="152" spans="1:13" s="23" customFormat="1" ht="15" customHeight="1">
      <c r="A152" s="7"/>
      <c r="B152" s="7"/>
      <c r="C152" s="7"/>
      <c r="D152" s="7"/>
      <c r="E152" s="7"/>
      <c r="F152" s="7"/>
      <c r="G152" s="7"/>
      <c r="H152" s="11"/>
      <c r="I152" s="11"/>
      <c r="L152" s="24"/>
      <c r="M152" s="24"/>
    </row>
  </sheetData>
  <autoFilter ref="A1:H91" xr:uid="{00000000-0009-0000-0000-000004000000}"/>
  <mergeCells count="13">
    <mergeCell ref="J37:K37"/>
    <mergeCell ref="J27:K27"/>
    <mergeCell ref="J14:K14"/>
    <mergeCell ref="J1:K1"/>
    <mergeCell ref="J28:N28"/>
    <mergeCell ref="J30:N30"/>
    <mergeCell ref="J34:N34"/>
    <mergeCell ref="J2:K2"/>
    <mergeCell ref="J4:N4"/>
    <mergeCell ref="J8:N8"/>
    <mergeCell ref="J15:N15"/>
    <mergeCell ref="J17:N17"/>
    <mergeCell ref="J22:N22"/>
  </mergeCells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B1B4-0D99-4CA4-BA53-5F889C6B8C46}">
  <sheetPr codeName="Sheet10">
    <tabColor theme="9" tint="-0.249977111117893"/>
  </sheetPr>
  <dimension ref="A1:Z89"/>
  <sheetViews>
    <sheetView topLeftCell="A50" zoomScale="118" zoomScaleNormal="73" workbookViewId="0">
      <selection activeCell="B4" sqref="B4"/>
    </sheetView>
  </sheetViews>
  <sheetFormatPr defaultColWidth="14.7109375" defaultRowHeight="14.45"/>
  <cols>
    <col min="1" max="1" width="5.140625" style="70" bestFit="1" customWidth="1"/>
    <col min="2" max="2" width="11.85546875" style="47" bestFit="1" customWidth="1"/>
    <col min="3" max="3" width="8.7109375" style="53" bestFit="1" customWidth="1"/>
    <col min="4" max="4" width="13.28515625" style="49" bestFit="1" customWidth="1"/>
    <col min="5" max="5" width="12.5703125" style="70" bestFit="1" customWidth="1"/>
    <col min="6" max="6" width="6.28515625" style="48" bestFit="1" customWidth="1"/>
    <col min="7" max="7" width="8.85546875" style="51" bestFit="1" customWidth="1"/>
    <col min="8" max="8" width="14.140625" style="51" bestFit="1" customWidth="1"/>
    <col min="9" max="9" width="10.140625" style="48" bestFit="1" customWidth="1"/>
    <col min="10" max="10" width="2" style="54" customWidth="1"/>
    <col min="11" max="11" width="14.7109375" style="1" customWidth="1"/>
    <col min="12" max="12" width="12.5703125" style="1" bestFit="1" customWidth="1"/>
    <col min="13" max="13" width="6" style="1" bestFit="1" customWidth="1"/>
    <col min="14" max="14" width="8.7109375" style="1" bestFit="1" customWidth="1"/>
    <col min="15" max="15" width="2" style="1" customWidth="1"/>
    <col min="16" max="17" width="4.85546875" style="1" customWidth="1"/>
    <col min="18" max="18" width="8.42578125" style="1" customWidth="1"/>
    <col min="19" max="256" width="14.7109375" style="1"/>
    <col min="257" max="257" width="5.140625" style="1" bestFit="1" customWidth="1"/>
    <col min="258" max="258" width="10.7109375" style="1" bestFit="1" customWidth="1"/>
    <col min="259" max="259" width="8.7109375" style="1" bestFit="1" customWidth="1"/>
    <col min="260" max="260" width="13.28515625" style="1" bestFit="1" customWidth="1"/>
    <col min="261" max="261" width="12.5703125" style="1" bestFit="1" customWidth="1"/>
    <col min="262" max="262" width="6.28515625" style="1" bestFit="1" customWidth="1"/>
    <col min="263" max="263" width="8.85546875" style="1" bestFit="1" customWidth="1"/>
    <col min="264" max="264" width="14.140625" style="1" bestFit="1" customWidth="1"/>
    <col min="265" max="265" width="10.140625" style="1" bestFit="1" customWidth="1"/>
    <col min="266" max="266" width="15.140625" style="1" customWidth="1"/>
    <col min="267" max="267" width="14.7109375" style="1" customWidth="1"/>
    <col min="268" max="268" width="12.5703125" style="1" bestFit="1" customWidth="1"/>
    <col min="269" max="269" width="6" style="1" bestFit="1" customWidth="1"/>
    <col min="270" max="270" width="8.7109375" style="1" bestFit="1" customWidth="1"/>
    <col min="271" max="512" width="14.7109375" style="1"/>
    <col min="513" max="513" width="5.140625" style="1" bestFit="1" customWidth="1"/>
    <col min="514" max="514" width="10.7109375" style="1" bestFit="1" customWidth="1"/>
    <col min="515" max="515" width="8.7109375" style="1" bestFit="1" customWidth="1"/>
    <col min="516" max="516" width="13.28515625" style="1" bestFit="1" customWidth="1"/>
    <col min="517" max="517" width="12.5703125" style="1" bestFit="1" customWidth="1"/>
    <col min="518" max="518" width="6.28515625" style="1" bestFit="1" customWidth="1"/>
    <col min="519" max="519" width="8.85546875" style="1" bestFit="1" customWidth="1"/>
    <col min="520" max="520" width="14.140625" style="1" bestFit="1" customWidth="1"/>
    <col min="521" max="521" width="10.140625" style="1" bestFit="1" customWidth="1"/>
    <col min="522" max="522" width="15.140625" style="1" customWidth="1"/>
    <col min="523" max="523" width="14.7109375" style="1" customWidth="1"/>
    <col min="524" max="524" width="12.5703125" style="1" bestFit="1" customWidth="1"/>
    <col min="525" max="525" width="6" style="1" bestFit="1" customWidth="1"/>
    <col min="526" max="526" width="8.7109375" style="1" bestFit="1" customWidth="1"/>
    <col min="527" max="768" width="14.7109375" style="1"/>
    <col min="769" max="769" width="5.140625" style="1" bestFit="1" customWidth="1"/>
    <col min="770" max="770" width="10.7109375" style="1" bestFit="1" customWidth="1"/>
    <col min="771" max="771" width="8.7109375" style="1" bestFit="1" customWidth="1"/>
    <col min="772" max="772" width="13.28515625" style="1" bestFit="1" customWidth="1"/>
    <col min="773" max="773" width="12.5703125" style="1" bestFit="1" customWidth="1"/>
    <col min="774" max="774" width="6.28515625" style="1" bestFit="1" customWidth="1"/>
    <col min="775" max="775" width="8.85546875" style="1" bestFit="1" customWidth="1"/>
    <col min="776" max="776" width="14.140625" style="1" bestFit="1" customWidth="1"/>
    <col min="777" max="777" width="10.140625" style="1" bestFit="1" customWidth="1"/>
    <col min="778" max="778" width="15.140625" style="1" customWidth="1"/>
    <col min="779" max="779" width="14.7109375" style="1" customWidth="1"/>
    <col min="780" max="780" width="12.5703125" style="1" bestFit="1" customWidth="1"/>
    <col min="781" max="781" width="6" style="1" bestFit="1" customWidth="1"/>
    <col min="782" max="782" width="8.7109375" style="1" bestFit="1" customWidth="1"/>
    <col min="783" max="1024" width="14.7109375" style="1"/>
    <col min="1025" max="1025" width="5.140625" style="1" bestFit="1" customWidth="1"/>
    <col min="1026" max="1026" width="10.7109375" style="1" bestFit="1" customWidth="1"/>
    <col min="1027" max="1027" width="8.7109375" style="1" bestFit="1" customWidth="1"/>
    <col min="1028" max="1028" width="13.28515625" style="1" bestFit="1" customWidth="1"/>
    <col min="1029" max="1029" width="12.5703125" style="1" bestFit="1" customWidth="1"/>
    <col min="1030" max="1030" width="6.28515625" style="1" bestFit="1" customWidth="1"/>
    <col min="1031" max="1031" width="8.85546875" style="1" bestFit="1" customWidth="1"/>
    <col min="1032" max="1032" width="14.140625" style="1" bestFit="1" customWidth="1"/>
    <col min="1033" max="1033" width="10.140625" style="1" bestFit="1" customWidth="1"/>
    <col min="1034" max="1034" width="15.140625" style="1" customWidth="1"/>
    <col min="1035" max="1035" width="14.7109375" style="1" customWidth="1"/>
    <col min="1036" max="1036" width="12.5703125" style="1" bestFit="1" customWidth="1"/>
    <col min="1037" max="1037" width="6" style="1" bestFit="1" customWidth="1"/>
    <col min="1038" max="1038" width="8.7109375" style="1" bestFit="1" customWidth="1"/>
    <col min="1039" max="1280" width="14.7109375" style="1"/>
    <col min="1281" max="1281" width="5.140625" style="1" bestFit="1" customWidth="1"/>
    <col min="1282" max="1282" width="10.7109375" style="1" bestFit="1" customWidth="1"/>
    <col min="1283" max="1283" width="8.7109375" style="1" bestFit="1" customWidth="1"/>
    <col min="1284" max="1284" width="13.28515625" style="1" bestFit="1" customWidth="1"/>
    <col min="1285" max="1285" width="12.5703125" style="1" bestFit="1" customWidth="1"/>
    <col min="1286" max="1286" width="6.28515625" style="1" bestFit="1" customWidth="1"/>
    <col min="1287" max="1287" width="8.85546875" style="1" bestFit="1" customWidth="1"/>
    <col min="1288" max="1288" width="14.140625" style="1" bestFit="1" customWidth="1"/>
    <col min="1289" max="1289" width="10.140625" style="1" bestFit="1" customWidth="1"/>
    <col min="1290" max="1290" width="15.140625" style="1" customWidth="1"/>
    <col min="1291" max="1291" width="14.7109375" style="1" customWidth="1"/>
    <col min="1292" max="1292" width="12.5703125" style="1" bestFit="1" customWidth="1"/>
    <col min="1293" max="1293" width="6" style="1" bestFit="1" customWidth="1"/>
    <col min="1294" max="1294" width="8.7109375" style="1" bestFit="1" customWidth="1"/>
    <col min="1295" max="1536" width="14.7109375" style="1"/>
    <col min="1537" max="1537" width="5.140625" style="1" bestFit="1" customWidth="1"/>
    <col min="1538" max="1538" width="10.7109375" style="1" bestFit="1" customWidth="1"/>
    <col min="1539" max="1539" width="8.7109375" style="1" bestFit="1" customWidth="1"/>
    <col min="1540" max="1540" width="13.28515625" style="1" bestFit="1" customWidth="1"/>
    <col min="1541" max="1541" width="12.5703125" style="1" bestFit="1" customWidth="1"/>
    <col min="1542" max="1542" width="6.28515625" style="1" bestFit="1" customWidth="1"/>
    <col min="1543" max="1543" width="8.85546875" style="1" bestFit="1" customWidth="1"/>
    <col min="1544" max="1544" width="14.140625" style="1" bestFit="1" customWidth="1"/>
    <col min="1545" max="1545" width="10.140625" style="1" bestFit="1" customWidth="1"/>
    <col min="1546" max="1546" width="15.140625" style="1" customWidth="1"/>
    <col min="1547" max="1547" width="14.7109375" style="1" customWidth="1"/>
    <col min="1548" max="1548" width="12.5703125" style="1" bestFit="1" customWidth="1"/>
    <col min="1549" max="1549" width="6" style="1" bestFit="1" customWidth="1"/>
    <col min="1550" max="1550" width="8.7109375" style="1" bestFit="1" customWidth="1"/>
    <col min="1551" max="1792" width="14.7109375" style="1"/>
    <col min="1793" max="1793" width="5.140625" style="1" bestFit="1" customWidth="1"/>
    <col min="1794" max="1794" width="10.7109375" style="1" bestFit="1" customWidth="1"/>
    <col min="1795" max="1795" width="8.7109375" style="1" bestFit="1" customWidth="1"/>
    <col min="1796" max="1796" width="13.28515625" style="1" bestFit="1" customWidth="1"/>
    <col min="1797" max="1797" width="12.5703125" style="1" bestFit="1" customWidth="1"/>
    <col min="1798" max="1798" width="6.28515625" style="1" bestFit="1" customWidth="1"/>
    <col min="1799" max="1799" width="8.85546875" style="1" bestFit="1" customWidth="1"/>
    <col min="1800" max="1800" width="14.140625" style="1" bestFit="1" customWidth="1"/>
    <col min="1801" max="1801" width="10.140625" style="1" bestFit="1" customWidth="1"/>
    <col min="1802" max="1802" width="15.140625" style="1" customWidth="1"/>
    <col min="1803" max="1803" width="14.7109375" style="1" customWidth="1"/>
    <col min="1804" max="1804" width="12.5703125" style="1" bestFit="1" customWidth="1"/>
    <col min="1805" max="1805" width="6" style="1" bestFit="1" customWidth="1"/>
    <col min="1806" max="1806" width="8.7109375" style="1" bestFit="1" customWidth="1"/>
    <col min="1807" max="2048" width="14.7109375" style="1"/>
    <col min="2049" max="2049" width="5.140625" style="1" bestFit="1" customWidth="1"/>
    <col min="2050" max="2050" width="10.7109375" style="1" bestFit="1" customWidth="1"/>
    <col min="2051" max="2051" width="8.7109375" style="1" bestFit="1" customWidth="1"/>
    <col min="2052" max="2052" width="13.28515625" style="1" bestFit="1" customWidth="1"/>
    <col min="2053" max="2053" width="12.5703125" style="1" bestFit="1" customWidth="1"/>
    <col min="2054" max="2054" width="6.28515625" style="1" bestFit="1" customWidth="1"/>
    <col min="2055" max="2055" width="8.85546875" style="1" bestFit="1" customWidth="1"/>
    <col min="2056" max="2056" width="14.140625" style="1" bestFit="1" customWidth="1"/>
    <col min="2057" max="2057" width="10.140625" style="1" bestFit="1" customWidth="1"/>
    <col min="2058" max="2058" width="15.140625" style="1" customWidth="1"/>
    <col min="2059" max="2059" width="14.7109375" style="1" customWidth="1"/>
    <col min="2060" max="2060" width="12.5703125" style="1" bestFit="1" customWidth="1"/>
    <col min="2061" max="2061" width="6" style="1" bestFit="1" customWidth="1"/>
    <col min="2062" max="2062" width="8.7109375" style="1" bestFit="1" customWidth="1"/>
    <col min="2063" max="2304" width="14.7109375" style="1"/>
    <col min="2305" max="2305" width="5.140625" style="1" bestFit="1" customWidth="1"/>
    <col min="2306" max="2306" width="10.7109375" style="1" bestFit="1" customWidth="1"/>
    <col min="2307" max="2307" width="8.7109375" style="1" bestFit="1" customWidth="1"/>
    <col min="2308" max="2308" width="13.28515625" style="1" bestFit="1" customWidth="1"/>
    <col min="2309" max="2309" width="12.5703125" style="1" bestFit="1" customWidth="1"/>
    <col min="2310" max="2310" width="6.28515625" style="1" bestFit="1" customWidth="1"/>
    <col min="2311" max="2311" width="8.85546875" style="1" bestFit="1" customWidth="1"/>
    <col min="2312" max="2312" width="14.140625" style="1" bestFit="1" customWidth="1"/>
    <col min="2313" max="2313" width="10.140625" style="1" bestFit="1" customWidth="1"/>
    <col min="2314" max="2314" width="15.140625" style="1" customWidth="1"/>
    <col min="2315" max="2315" width="14.7109375" style="1" customWidth="1"/>
    <col min="2316" max="2316" width="12.5703125" style="1" bestFit="1" customWidth="1"/>
    <col min="2317" max="2317" width="6" style="1" bestFit="1" customWidth="1"/>
    <col min="2318" max="2318" width="8.7109375" style="1" bestFit="1" customWidth="1"/>
    <col min="2319" max="2560" width="14.7109375" style="1"/>
    <col min="2561" max="2561" width="5.140625" style="1" bestFit="1" customWidth="1"/>
    <col min="2562" max="2562" width="10.7109375" style="1" bestFit="1" customWidth="1"/>
    <col min="2563" max="2563" width="8.7109375" style="1" bestFit="1" customWidth="1"/>
    <col min="2564" max="2564" width="13.28515625" style="1" bestFit="1" customWidth="1"/>
    <col min="2565" max="2565" width="12.5703125" style="1" bestFit="1" customWidth="1"/>
    <col min="2566" max="2566" width="6.28515625" style="1" bestFit="1" customWidth="1"/>
    <col min="2567" max="2567" width="8.85546875" style="1" bestFit="1" customWidth="1"/>
    <col min="2568" max="2568" width="14.140625" style="1" bestFit="1" customWidth="1"/>
    <col min="2569" max="2569" width="10.140625" style="1" bestFit="1" customWidth="1"/>
    <col min="2570" max="2570" width="15.140625" style="1" customWidth="1"/>
    <col min="2571" max="2571" width="14.7109375" style="1" customWidth="1"/>
    <col min="2572" max="2572" width="12.5703125" style="1" bestFit="1" customWidth="1"/>
    <col min="2573" max="2573" width="6" style="1" bestFit="1" customWidth="1"/>
    <col min="2574" max="2574" width="8.7109375" style="1" bestFit="1" customWidth="1"/>
    <col min="2575" max="2816" width="14.7109375" style="1"/>
    <col min="2817" max="2817" width="5.140625" style="1" bestFit="1" customWidth="1"/>
    <col min="2818" max="2818" width="10.7109375" style="1" bestFit="1" customWidth="1"/>
    <col min="2819" max="2819" width="8.7109375" style="1" bestFit="1" customWidth="1"/>
    <col min="2820" max="2820" width="13.28515625" style="1" bestFit="1" customWidth="1"/>
    <col min="2821" max="2821" width="12.5703125" style="1" bestFit="1" customWidth="1"/>
    <col min="2822" max="2822" width="6.28515625" style="1" bestFit="1" customWidth="1"/>
    <col min="2823" max="2823" width="8.85546875" style="1" bestFit="1" customWidth="1"/>
    <col min="2824" max="2824" width="14.140625" style="1" bestFit="1" customWidth="1"/>
    <col min="2825" max="2825" width="10.140625" style="1" bestFit="1" customWidth="1"/>
    <col min="2826" max="2826" width="15.140625" style="1" customWidth="1"/>
    <col min="2827" max="2827" width="14.7109375" style="1" customWidth="1"/>
    <col min="2828" max="2828" width="12.5703125" style="1" bestFit="1" customWidth="1"/>
    <col min="2829" max="2829" width="6" style="1" bestFit="1" customWidth="1"/>
    <col min="2830" max="2830" width="8.7109375" style="1" bestFit="1" customWidth="1"/>
    <col min="2831" max="3072" width="14.7109375" style="1"/>
    <col min="3073" max="3073" width="5.140625" style="1" bestFit="1" customWidth="1"/>
    <col min="3074" max="3074" width="10.7109375" style="1" bestFit="1" customWidth="1"/>
    <col min="3075" max="3075" width="8.7109375" style="1" bestFit="1" customWidth="1"/>
    <col min="3076" max="3076" width="13.28515625" style="1" bestFit="1" customWidth="1"/>
    <col min="3077" max="3077" width="12.5703125" style="1" bestFit="1" customWidth="1"/>
    <col min="3078" max="3078" width="6.28515625" style="1" bestFit="1" customWidth="1"/>
    <col min="3079" max="3079" width="8.85546875" style="1" bestFit="1" customWidth="1"/>
    <col min="3080" max="3080" width="14.140625" style="1" bestFit="1" customWidth="1"/>
    <col min="3081" max="3081" width="10.140625" style="1" bestFit="1" customWidth="1"/>
    <col min="3082" max="3082" width="15.140625" style="1" customWidth="1"/>
    <col min="3083" max="3083" width="14.7109375" style="1" customWidth="1"/>
    <col min="3084" max="3084" width="12.5703125" style="1" bestFit="1" customWidth="1"/>
    <col min="3085" max="3085" width="6" style="1" bestFit="1" customWidth="1"/>
    <col min="3086" max="3086" width="8.7109375" style="1" bestFit="1" customWidth="1"/>
    <col min="3087" max="3328" width="14.7109375" style="1"/>
    <col min="3329" max="3329" width="5.140625" style="1" bestFit="1" customWidth="1"/>
    <col min="3330" max="3330" width="10.7109375" style="1" bestFit="1" customWidth="1"/>
    <col min="3331" max="3331" width="8.7109375" style="1" bestFit="1" customWidth="1"/>
    <col min="3332" max="3332" width="13.28515625" style="1" bestFit="1" customWidth="1"/>
    <col min="3333" max="3333" width="12.5703125" style="1" bestFit="1" customWidth="1"/>
    <col min="3334" max="3334" width="6.28515625" style="1" bestFit="1" customWidth="1"/>
    <col min="3335" max="3335" width="8.85546875" style="1" bestFit="1" customWidth="1"/>
    <col min="3336" max="3336" width="14.140625" style="1" bestFit="1" customWidth="1"/>
    <col min="3337" max="3337" width="10.140625" style="1" bestFit="1" customWidth="1"/>
    <col min="3338" max="3338" width="15.140625" style="1" customWidth="1"/>
    <col min="3339" max="3339" width="14.7109375" style="1" customWidth="1"/>
    <col min="3340" max="3340" width="12.5703125" style="1" bestFit="1" customWidth="1"/>
    <col min="3341" max="3341" width="6" style="1" bestFit="1" customWidth="1"/>
    <col min="3342" max="3342" width="8.7109375" style="1" bestFit="1" customWidth="1"/>
    <col min="3343" max="3584" width="14.7109375" style="1"/>
    <col min="3585" max="3585" width="5.140625" style="1" bestFit="1" customWidth="1"/>
    <col min="3586" max="3586" width="10.7109375" style="1" bestFit="1" customWidth="1"/>
    <col min="3587" max="3587" width="8.7109375" style="1" bestFit="1" customWidth="1"/>
    <col min="3588" max="3588" width="13.28515625" style="1" bestFit="1" customWidth="1"/>
    <col min="3589" max="3589" width="12.5703125" style="1" bestFit="1" customWidth="1"/>
    <col min="3590" max="3590" width="6.28515625" style="1" bestFit="1" customWidth="1"/>
    <col min="3591" max="3591" width="8.85546875" style="1" bestFit="1" customWidth="1"/>
    <col min="3592" max="3592" width="14.140625" style="1" bestFit="1" customWidth="1"/>
    <col min="3593" max="3593" width="10.140625" style="1" bestFit="1" customWidth="1"/>
    <col min="3594" max="3594" width="15.140625" style="1" customWidth="1"/>
    <col min="3595" max="3595" width="14.7109375" style="1" customWidth="1"/>
    <col min="3596" max="3596" width="12.5703125" style="1" bestFit="1" customWidth="1"/>
    <col min="3597" max="3597" width="6" style="1" bestFit="1" customWidth="1"/>
    <col min="3598" max="3598" width="8.7109375" style="1" bestFit="1" customWidth="1"/>
    <col min="3599" max="3840" width="14.7109375" style="1"/>
    <col min="3841" max="3841" width="5.140625" style="1" bestFit="1" customWidth="1"/>
    <col min="3842" max="3842" width="10.7109375" style="1" bestFit="1" customWidth="1"/>
    <col min="3843" max="3843" width="8.7109375" style="1" bestFit="1" customWidth="1"/>
    <col min="3844" max="3844" width="13.28515625" style="1" bestFit="1" customWidth="1"/>
    <col min="3845" max="3845" width="12.5703125" style="1" bestFit="1" customWidth="1"/>
    <col min="3846" max="3846" width="6.28515625" style="1" bestFit="1" customWidth="1"/>
    <col min="3847" max="3847" width="8.85546875" style="1" bestFit="1" customWidth="1"/>
    <col min="3848" max="3848" width="14.140625" style="1" bestFit="1" customWidth="1"/>
    <col min="3849" max="3849" width="10.140625" style="1" bestFit="1" customWidth="1"/>
    <col min="3850" max="3850" width="15.140625" style="1" customWidth="1"/>
    <col min="3851" max="3851" width="14.7109375" style="1" customWidth="1"/>
    <col min="3852" max="3852" width="12.5703125" style="1" bestFit="1" customWidth="1"/>
    <col min="3853" max="3853" width="6" style="1" bestFit="1" customWidth="1"/>
    <col min="3854" max="3854" width="8.7109375" style="1" bestFit="1" customWidth="1"/>
    <col min="3855" max="4096" width="14.7109375" style="1"/>
    <col min="4097" max="4097" width="5.140625" style="1" bestFit="1" customWidth="1"/>
    <col min="4098" max="4098" width="10.7109375" style="1" bestFit="1" customWidth="1"/>
    <col min="4099" max="4099" width="8.7109375" style="1" bestFit="1" customWidth="1"/>
    <col min="4100" max="4100" width="13.28515625" style="1" bestFit="1" customWidth="1"/>
    <col min="4101" max="4101" width="12.5703125" style="1" bestFit="1" customWidth="1"/>
    <col min="4102" max="4102" width="6.28515625" style="1" bestFit="1" customWidth="1"/>
    <col min="4103" max="4103" width="8.85546875" style="1" bestFit="1" customWidth="1"/>
    <col min="4104" max="4104" width="14.140625" style="1" bestFit="1" customWidth="1"/>
    <col min="4105" max="4105" width="10.140625" style="1" bestFit="1" customWidth="1"/>
    <col min="4106" max="4106" width="15.140625" style="1" customWidth="1"/>
    <col min="4107" max="4107" width="14.7109375" style="1" customWidth="1"/>
    <col min="4108" max="4108" width="12.5703125" style="1" bestFit="1" customWidth="1"/>
    <col min="4109" max="4109" width="6" style="1" bestFit="1" customWidth="1"/>
    <col min="4110" max="4110" width="8.7109375" style="1" bestFit="1" customWidth="1"/>
    <col min="4111" max="4352" width="14.7109375" style="1"/>
    <col min="4353" max="4353" width="5.140625" style="1" bestFit="1" customWidth="1"/>
    <col min="4354" max="4354" width="10.7109375" style="1" bestFit="1" customWidth="1"/>
    <col min="4355" max="4355" width="8.7109375" style="1" bestFit="1" customWidth="1"/>
    <col min="4356" max="4356" width="13.28515625" style="1" bestFit="1" customWidth="1"/>
    <col min="4357" max="4357" width="12.5703125" style="1" bestFit="1" customWidth="1"/>
    <col min="4358" max="4358" width="6.28515625" style="1" bestFit="1" customWidth="1"/>
    <col min="4359" max="4359" width="8.85546875" style="1" bestFit="1" customWidth="1"/>
    <col min="4360" max="4360" width="14.140625" style="1" bestFit="1" customWidth="1"/>
    <col min="4361" max="4361" width="10.140625" style="1" bestFit="1" customWidth="1"/>
    <col min="4362" max="4362" width="15.140625" style="1" customWidth="1"/>
    <col min="4363" max="4363" width="14.7109375" style="1" customWidth="1"/>
    <col min="4364" max="4364" width="12.5703125" style="1" bestFit="1" customWidth="1"/>
    <col min="4365" max="4365" width="6" style="1" bestFit="1" customWidth="1"/>
    <col min="4366" max="4366" width="8.7109375" style="1" bestFit="1" customWidth="1"/>
    <col min="4367" max="4608" width="14.7109375" style="1"/>
    <col min="4609" max="4609" width="5.140625" style="1" bestFit="1" customWidth="1"/>
    <col min="4610" max="4610" width="10.7109375" style="1" bestFit="1" customWidth="1"/>
    <col min="4611" max="4611" width="8.7109375" style="1" bestFit="1" customWidth="1"/>
    <col min="4612" max="4612" width="13.28515625" style="1" bestFit="1" customWidth="1"/>
    <col min="4613" max="4613" width="12.5703125" style="1" bestFit="1" customWidth="1"/>
    <col min="4614" max="4614" width="6.28515625" style="1" bestFit="1" customWidth="1"/>
    <col min="4615" max="4615" width="8.85546875" style="1" bestFit="1" customWidth="1"/>
    <col min="4616" max="4616" width="14.140625" style="1" bestFit="1" customWidth="1"/>
    <col min="4617" max="4617" width="10.140625" style="1" bestFit="1" customWidth="1"/>
    <col min="4618" max="4618" width="15.140625" style="1" customWidth="1"/>
    <col min="4619" max="4619" width="14.7109375" style="1" customWidth="1"/>
    <col min="4620" max="4620" width="12.5703125" style="1" bestFit="1" customWidth="1"/>
    <col min="4621" max="4621" width="6" style="1" bestFit="1" customWidth="1"/>
    <col min="4622" max="4622" width="8.7109375" style="1" bestFit="1" customWidth="1"/>
    <col min="4623" max="4864" width="14.7109375" style="1"/>
    <col min="4865" max="4865" width="5.140625" style="1" bestFit="1" customWidth="1"/>
    <col min="4866" max="4866" width="10.7109375" style="1" bestFit="1" customWidth="1"/>
    <col min="4867" max="4867" width="8.7109375" style="1" bestFit="1" customWidth="1"/>
    <col min="4868" max="4868" width="13.28515625" style="1" bestFit="1" customWidth="1"/>
    <col min="4869" max="4869" width="12.5703125" style="1" bestFit="1" customWidth="1"/>
    <col min="4870" max="4870" width="6.28515625" style="1" bestFit="1" customWidth="1"/>
    <col min="4871" max="4871" width="8.85546875" style="1" bestFit="1" customWidth="1"/>
    <col min="4872" max="4872" width="14.140625" style="1" bestFit="1" customWidth="1"/>
    <col min="4873" max="4873" width="10.140625" style="1" bestFit="1" customWidth="1"/>
    <col min="4874" max="4874" width="15.140625" style="1" customWidth="1"/>
    <col min="4875" max="4875" width="14.7109375" style="1" customWidth="1"/>
    <col min="4876" max="4876" width="12.5703125" style="1" bestFit="1" customWidth="1"/>
    <col min="4877" max="4877" width="6" style="1" bestFit="1" customWidth="1"/>
    <col min="4878" max="4878" width="8.7109375" style="1" bestFit="1" customWidth="1"/>
    <col min="4879" max="5120" width="14.7109375" style="1"/>
    <col min="5121" max="5121" width="5.140625" style="1" bestFit="1" customWidth="1"/>
    <col min="5122" max="5122" width="10.7109375" style="1" bestFit="1" customWidth="1"/>
    <col min="5123" max="5123" width="8.7109375" style="1" bestFit="1" customWidth="1"/>
    <col min="5124" max="5124" width="13.28515625" style="1" bestFit="1" customWidth="1"/>
    <col min="5125" max="5125" width="12.5703125" style="1" bestFit="1" customWidth="1"/>
    <col min="5126" max="5126" width="6.28515625" style="1" bestFit="1" customWidth="1"/>
    <col min="5127" max="5127" width="8.85546875" style="1" bestFit="1" customWidth="1"/>
    <col min="5128" max="5128" width="14.140625" style="1" bestFit="1" customWidth="1"/>
    <col min="5129" max="5129" width="10.140625" style="1" bestFit="1" customWidth="1"/>
    <col min="5130" max="5130" width="15.140625" style="1" customWidth="1"/>
    <col min="5131" max="5131" width="14.7109375" style="1" customWidth="1"/>
    <col min="5132" max="5132" width="12.5703125" style="1" bestFit="1" customWidth="1"/>
    <col min="5133" max="5133" width="6" style="1" bestFit="1" customWidth="1"/>
    <col min="5134" max="5134" width="8.7109375" style="1" bestFit="1" customWidth="1"/>
    <col min="5135" max="5376" width="14.7109375" style="1"/>
    <col min="5377" max="5377" width="5.140625" style="1" bestFit="1" customWidth="1"/>
    <col min="5378" max="5378" width="10.7109375" style="1" bestFit="1" customWidth="1"/>
    <col min="5379" max="5379" width="8.7109375" style="1" bestFit="1" customWidth="1"/>
    <col min="5380" max="5380" width="13.28515625" style="1" bestFit="1" customWidth="1"/>
    <col min="5381" max="5381" width="12.5703125" style="1" bestFit="1" customWidth="1"/>
    <col min="5382" max="5382" width="6.28515625" style="1" bestFit="1" customWidth="1"/>
    <col min="5383" max="5383" width="8.85546875" style="1" bestFit="1" customWidth="1"/>
    <col min="5384" max="5384" width="14.140625" style="1" bestFit="1" customWidth="1"/>
    <col min="5385" max="5385" width="10.140625" style="1" bestFit="1" customWidth="1"/>
    <col min="5386" max="5386" width="15.140625" style="1" customWidth="1"/>
    <col min="5387" max="5387" width="14.7109375" style="1" customWidth="1"/>
    <col min="5388" max="5388" width="12.5703125" style="1" bestFit="1" customWidth="1"/>
    <col min="5389" max="5389" width="6" style="1" bestFit="1" customWidth="1"/>
    <col min="5390" max="5390" width="8.7109375" style="1" bestFit="1" customWidth="1"/>
    <col min="5391" max="5632" width="14.7109375" style="1"/>
    <col min="5633" max="5633" width="5.140625" style="1" bestFit="1" customWidth="1"/>
    <col min="5634" max="5634" width="10.7109375" style="1" bestFit="1" customWidth="1"/>
    <col min="5635" max="5635" width="8.7109375" style="1" bestFit="1" customWidth="1"/>
    <col min="5636" max="5636" width="13.28515625" style="1" bestFit="1" customWidth="1"/>
    <col min="5637" max="5637" width="12.5703125" style="1" bestFit="1" customWidth="1"/>
    <col min="5638" max="5638" width="6.28515625" style="1" bestFit="1" customWidth="1"/>
    <col min="5639" max="5639" width="8.85546875" style="1" bestFit="1" customWidth="1"/>
    <col min="5640" max="5640" width="14.140625" style="1" bestFit="1" customWidth="1"/>
    <col min="5641" max="5641" width="10.140625" style="1" bestFit="1" customWidth="1"/>
    <col min="5642" max="5642" width="15.140625" style="1" customWidth="1"/>
    <col min="5643" max="5643" width="14.7109375" style="1" customWidth="1"/>
    <col min="5644" max="5644" width="12.5703125" style="1" bestFit="1" customWidth="1"/>
    <col min="5645" max="5645" width="6" style="1" bestFit="1" customWidth="1"/>
    <col min="5646" max="5646" width="8.7109375" style="1" bestFit="1" customWidth="1"/>
    <col min="5647" max="5888" width="14.7109375" style="1"/>
    <col min="5889" max="5889" width="5.140625" style="1" bestFit="1" customWidth="1"/>
    <col min="5890" max="5890" width="10.7109375" style="1" bestFit="1" customWidth="1"/>
    <col min="5891" max="5891" width="8.7109375" style="1" bestFit="1" customWidth="1"/>
    <col min="5892" max="5892" width="13.28515625" style="1" bestFit="1" customWidth="1"/>
    <col min="5893" max="5893" width="12.5703125" style="1" bestFit="1" customWidth="1"/>
    <col min="5894" max="5894" width="6.28515625" style="1" bestFit="1" customWidth="1"/>
    <col min="5895" max="5895" width="8.85546875" style="1" bestFit="1" customWidth="1"/>
    <col min="5896" max="5896" width="14.140625" style="1" bestFit="1" customWidth="1"/>
    <col min="5897" max="5897" width="10.140625" style="1" bestFit="1" customWidth="1"/>
    <col min="5898" max="5898" width="15.140625" style="1" customWidth="1"/>
    <col min="5899" max="5899" width="14.7109375" style="1" customWidth="1"/>
    <col min="5900" max="5900" width="12.5703125" style="1" bestFit="1" customWidth="1"/>
    <col min="5901" max="5901" width="6" style="1" bestFit="1" customWidth="1"/>
    <col min="5902" max="5902" width="8.7109375" style="1" bestFit="1" customWidth="1"/>
    <col min="5903" max="6144" width="14.7109375" style="1"/>
    <col min="6145" max="6145" width="5.140625" style="1" bestFit="1" customWidth="1"/>
    <col min="6146" max="6146" width="10.7109375" style="1" bestFit="1" customWidth="1"/>
    <col min="6147" max="6147" width="8.7109375" style="1" bestFit="1" customWidth="1"/>
    <col min="6148" max="6148" width="13.28515625" style="1" bestFit="1" customWidth="1"/>
    <col min="6149" max="6149" width="12.5703125" style="1" bestFit="1" customWidth="1"/>
    <col min="6150" max="6150" width="6.28515625" style="1" bestFit="1" customWidth="1"/>
    <col min="6151" max="6151" width="8.85546875" style="1" bestFit="1" customWidth="1"/>
    <col min="6152" max="6152" width="14.140625" style="1" bestFit="1" customWidth="1"/>
    <col min="6153" max="6153" width="10.140625" style="1" bestFit="1" customWidth="1"/>
    <col min="6154" max="6154" width="15.140625" style="1" customWidth="1"/>
    <col min="6155" max="6155" width="14.7109375" style="1" customWidth="1"/>
    <col min="6156" max="6156" width="12.5703125" style="1" bestFit="1" customWidth="1"/>
    <col min="6157" max="6157" width="6" style="1" bestFit="1" customWidth="1"/>
    <col min="6158" max="6158" width="8.7109375" style="1" bestFit="1" customWidth="1"/>
    <col min="6159" max="6400" width="14.7109375" style="1"/>
    <col min="6401" max="6401" width="5.140625" style="1" bestFit="1" customWidth="1"/>
    <col min="6402" max="6402" width="10.7109375" style="1" bestFit="1" customWidth="1"/>
    <col min="6403" max="6403" width="8.7109375" style="1" bestFit="1" customWidth="1"/>
    <col min="6404" max="6404" width="13.28515625" style="1" bestFit="1" customWidth="1"/>
    <col min="6405" max="6405" width="12.5703125" style="1" bestFit="1" customWidth="1"/>
    <col min="6406" max="6406" width="6.28515625" style="1" bestFit="1" customWidth="1"/>
    <col min="6407" max="6407" width="8.85546875" style="1" bestFit="1" customWidth="1"/>
    <col min="6408" max="6408" width="14.140625" style="1" bestFit="1" customWidth="1"/>
    <col min="6409" max="6409" width="10.140625" style="1" bestFit="1" customWidth="1"/>
    <col min="6410" max="6410" width="15.140625" style="1" customWidth="1"/>
    <col min="6411" max="6411" width="14.7109375" style="1" customWidth="1"/>
    <col min="6412" max="6412" width="12.5703125" style="1" bestFit="1" customWidth="1"/>
    <col min="6413" max="6413" width="6" style="1" bestFit="1" customWidth="1"/>
    <col min="6414" max="6414" width="8.7109375" style="1" bestFit="1" customWidth="1"/>
    <col min="6415" max="6656" width="14.7109375" style="1"/>
    <col min="6657" max="6657" width="5.140625" style="1" bestFit="1" customWidth="1"/>
    <col min="6658" max="6658" width="10.7109375" style="1" bestFit="1" customWidth="1"/>
    <col min="6659" max="6659" width="8.7109375" style="1" bestFit="1" customWidth="1"/>
    <col min="6660" max="6660" width="13.28515625" style="1" bestFit="1" customWidth="1"/>
    <col min="6661" max="6661" width="12.5703125" style="1" bestFit="1" customWidth="1"/>
    <col min="6662" max="6662" width="6.28515625" style="1" bestFit="1" customWidth="1"/>
    <col min="6663" max="6663" width="8.85546875" style="1" bestFit="1" customWidth="1"/>
    <col min="6664" max="6664" width="14.140625" style="1" bestFit="1" customWidth="1"/>
    <col min="6665" max="6665" width="10.140625" style="1" bestFit="1" customWidth="1"/>
    <col min="6666" max="6666" width="15.140625" style="1" customWidth="1"/>
    <col min="6667" max="6667" width="14.7109375" style="1" customWidth="1"/>
    <col min="6668" max="6668" width="12.5703125" style="1" bestFit="1" customWidth="1"/>
    <col min="6669" max="6669" width="6" style="1" bestFit="1" customWidth="1"/>
    <col min="6670" max="6670" width="8.7109375" style="1" bestFit="1" customWidth="1"/>
    <col min="6671" max="6912" width="14.7109375" style="1"/>
    <col min="6913" max="6913" width="5.140625" style="1" bestFit="1" customWidth="1"/>
    <col min="6914" max="6914" width="10.7109375" style="1" bestFit="1" customWidth="1"/>
    <col min="6915" max="6915" width="8.7109375" style="1" bestFit="1" customWidth="1"/>
    <col min="6916" max="6916" width="13.28515625" style="1" bestFit="1" customWidth="1"/>
    <col min="6917" max="6917" width="12.5703125" style="1" bestFit="1" customWidth="1"/>
    <col min="6918" max="6918" width="6.28515625" style="1" bestFit="1" customWidth="1"/>
    <col min="6919" max="6919" width="8.85546875" style="1" bestFit="1" customWidth="1"/>
    <col min="6920" max="6920" width="14.140625" style="1" bestFit="1" customWidth="1"/>
    <col min="6921" max="6921" width="10.140625" style="1" bestFit="1" customWidth="1"/>
    <col min="6922" max="6922" width="15.140625" style="1" customWidth="1"/>
    <col min="6923" max="6923" width="14.7109375" style="1" customWidth="1"/>
    <col min="6924" max="6924" width="12.5703125" style="1" bestFit="1" customWidth="1"/>
    <col min="6925" max="6925" width="6" style="1" bestFit="1" customWidth="1"/>
    <col min="6926" max="6926" width="8.7109375" style="1" bestFit="1" customWidth="1"/>
    <col min="6927" max="7168" width="14.7109375" style="1"/>
    <col min="7169" max="7169" width="5.140625" style="1" bestFit="1" customWidth="1"/>
    <col min="7170" max="7170" width="10.7109375" style="1" bestFit="1" customWidth="1"/>
    <col min="7171" max="7171" width="8.7109375" style="1" bestFit="1" customWidth="1"/>
    <col min="7172" max="7172" width="13.28515625" style="1" bestFit="1" customWidth="1"/>
    <col min="7173" max="7173" width="12.5703125" style="1" bestFit="1" customWidth="1"/>
    <col min="7174" max="7174" width="6.28515625" style="1" bestFit="1" customWidth="1"/>
    <col min="7175" max="7175" width="8.85546875" style="1" bestFit="1" customWidth="1"/>
    <col min="7176" max="7176" width="14.140625" style="1" bestFit="1" customWidth="1"/>
    <col min="7177" max="7177" width="10.140625" style="1" bestFit="1" customWidth="1"/>
    <col min="7178" max="7178" width="15.140625" style="1" customWidth="1"/>
    <col min="7179" max="7179" width="14.7109375" style="1" customWidth="1"/>
    <col min="7180" max="7180" width="12.5703125" style="1" bestFit="1" customWidth="1"/>
    <col min="7181" max="7181" width="6" style="1" bestFit="1" customWidth="1"/>
    <col min="7182" max="7182" width="8.7109375" style="1" bestFit="1" customWidth="1"/>
    <col min="7183" max="7424" width="14.7109375" style="1"/>
    <col min="7425" max="7425" width="5.140625" style="1" bestFit="1" customWidth="1"/>
    <col min="7426" max="7426" width="10.7109375" style="1" bestFit="1" customWidth="1"/>
    <col min="7427" max="7427" width="8.7109375" style="1" bestFit="1" customWidth="1"/>
    <col min="7428" max="7428" width="13.28515625" style="1" bestFit="1" customWidth="1"/>
    <col min="7429" max="7429" width="12.5703125" style="1" bestFit="1" customWidth="1"/>
    <col min="7430" max="7430" width="6.28515625" style="1" bestFit="1" customWidth="1"/>
    <col min="7431" max="7431" width="8.85546875" style="1" bestFit="1" customWidth="1"/>
    <col min="7432" max="7432" width="14.140625" style="1" bestFit="1" customWidth="1"/>
    <col min="7433" max="7433" width="10.140625" style="1" bestFit="1" customWidth="1"/>
    <col min="7434" max="7434" width="15.140625" style="1" customWidth="1"/>
    <col min="7435" max="7435" width="14.7109375" style="1" customWidth="1"/>
    <col min="7436" max="7436" width="12.5703125" style="1" bestFit="1" customWidth="1"/>
    <col min="7437" max="7437" width="6" style="1" bestFit="1" customWidth="1"/>
    <col min="7438" max="7438" width="8.7109375" style="1" bestFit="1" customWidth="1"/>
    <col min="7439" max="7680" width="14.7109375" style="1"/>
    <col min="7681" max="7681" width="5.140625" style="1" bestFit="1" customWidth="1"/>
    <col min="7682" max="7682" width="10.7109375" style="1" bestFit="1" customWidth="1"/>
    <col min="7683" max="7683" width="8.7109375" style="1" bestFit="1" customWidth="1"/>
    <col min="7684" max="7684" width="13.28515625" style="1" bestFit="1" customWidth="1"/>
    <col min="7685" max="7685" width="12.5703125" style="1" bestFit="1" customWidth="1"/>
    <col min="7686" max="7686" width="6.28515625" style="1" bestFit="1" customWidth="1"/>
    <col min="7687" max="7687" width="8.85546875" style="1" bestFit="1" customWidth="1"/>
    <col min="7688" max="7688" width="14.140625" style="1" bestFit="1" customWidth="1"/>
    <col min="7689" max="7689" width="10.140625" style="1" bestFit="1" customWidth="1"/>
    <col min="7690" max="7690" width="15.140625" style="1" customWidth="1"/>
    <col min="7691" max="7691" width="14.7109375" style="1" customWidth="1"/>
    <col min="7692" max="7692" width="12.5703125" style="1" bestFit="1" customWidth="1"/>
    <col min="7693" max="7693" width="6" style="1" bestFit="1" customWidth="1"/>
    <col min="7694" max="7694" width="8.7109375" style="1" bestFit="1" customWidth="1"/>
    <col min="7695" max="7936" width="14.7109375" style="1"/>
    <col min="7937" max="7937" width="5.140625" style="1" bestFit="1" customWidth="1"/>
    <col min="7938" max="7938" width="10.7109375" style="1" bestFit="1" customWidth="1"/>
    <col min="7939" max="7939" width="8.7109375" style="1" bestFit="1" customWidth="1"/>
    <col min="7940" max="7940" width="13.28515625" style="1" bestFit="1" customWidth="1"/>
    <col min="7941" max="7941" width="12.5703125" style="1" bestFit="1" customWidth="1"/>
    <col min="7942" max="7942" width="6.28515625" style="1" bestFit="1" customWidth="1"/>
    <col min="7943" max="7943" width="8.85546875" style="1" bestFit="1" customWidth="1"/>
    <col min="7944" max="7944" width="14.140625" style="1" bestFit="1" customWidth="1"/>
    <col min="7945" max="7945" width="10.140625" style="1" bestFit="1" customWidth="1"/>
    <col min="7946" max="7946" width="15.140625" style="1" customWidth="1"/>
    <col min="7947" max="7947" width="14.7109375" style="1" customWidth="1"/>
    <col min="7948" max="7948" width="12.5703125" style="1" bestFit="1" customWidth="1"/>
    <col min="7949" max="7949" width="6" style="1" bestFit="1" customWidth="1"/>
    <col min="7950" max="7950" width="8.7109375" style="1" bestFit="1" customWidth="1"/>
    <col min="7951" max="8192" width="14.7109375" style="1"/>
    <col min="8193" max="8193" width="5.140625" style="1" bestFit="1" customWidth="1"/>
    <col min="8194" max="8194" width="10.7109375" style="1" bestFit="1" customWidth="1"/>
    <col min="8195" max="8195" width="8.7109375" style="1" bestFit="1" customWidth="1"/>
    <col min="8196" max="8196" width="13.28515625" style="1" bestFit="1" customWidth="1"/>
    <col min="8197" max="8197" width="12.5703125" style="1" bestFit="1" customWidth="1"/>
    <col min="8198" max="8198" width="6.28515625" style="1" bestFit="1" customWidth="1"/>
    <col min="8199" max="8199" width="8.85546875" style="1" bestFit="1" customWidth="1"/>
    <col min="8200" max="8200" width="14.140625" style="1" bestFit="1" customWidth="1"/>
    <col min="8201" max="8201" width="10.140625" style="1" bestFit="1" customWidth="1"/>
    <col min="8202" max="8202" width="15.140625" style="1" customWidth="1"/>
    <col min="8203" max="8203" width="14.7109375" style="1" customWidth="1"/>
    <col min="8204" max="8204" width="12.5703125" style="1" bestFit="1" customWidth="1"/>
    <col min="8205" max="8205" width="6" style="1" bestFit="1" customWidth="1"/>
    <col min="8206" max="8206" width="8.7109375" style="1" bestFit="1" customWidth="1"/>
    <col min="8207" max="8448" width="14.7109375" style="1"/>
    <col min="8449" max="8449" width="5.140625" style="1" bestFit="1" customWidth="1"/>
    <col min="8450" max="8450" width="10.7109375" style="1" bestFit="1" customWidth="1"/>
    <col min="8451" max="8451" width="8.7109375" style="1" bestFit="1" customWidth="1"/>
    <col min="8452" max="8452" width="13.28515625" style="1" bestFit="1" customWidth="1"/>
    <col min="8453" max="8453" width="12.5703125" style="1" bestFit="1" customWidth="1"/>
    <col min="8454" max="8454" width="6.28515625" style="1" bestFit="1" customWidth="1"/>
    <col min="8455" max="8455" width="8.85546875" style="1" bestFit="1" customWidth="1"/>
    <col min="8456" max="8456" width="14.140625" style="1" bestFit="1" customWidth="1"/>
    <col min="8457" max="8457" width="10.140625" style="1" bestFit="1" customWidth="1"/>
    <col min="8458" max="8458" width="15.140625" style="1" customWidth="1"/>
    <col min="8459" max="8459" width="14.7109375" style="1" customWidth="1"/>
    <col min="8460" max="8460" width="12.5703125" style="1" bestFit="1" customWidth="1"/>
    <col min="8461" max="8461" width="6" style="1" bestFit="1" customWidth="1"/>
    <col min="8462" max="8462" width="8.7109375" style="1" bestFit="1" customWidth="1"/>
    <col min="8463" max="8704" width="14.7109375" style="1"/>
    <col min="8705" max="8705" width="5.140625" style="1" bestFit="1" customWidth="1"/>
    <col min="8706" max="8706" width="10.7109375" style="1" bestFit="1" customWidth="1"/>
    <col min="8707" max="8707" width="8.7109375" style="1" bestFit="1" customWidth="1"/>
    <col min="8708" max="8708" width="13.28515625" style="1" bestFit="1" customWidth="1"/>
    <col min="8709" max="8709" width="12.5703125" style="1" bestFit="1" customWidth="1"/>
    <col min="8710" max="8710" width="6.28515625" style="1" bestFit="1" customWidth="1"/>
    <col min="8711" max="8711" width="8.85546875" style="1" bestFit="1" customWidth="1"/>
    <col min="8712" max="8712" width="14.140625" style="1" bestFit="1" customWidth="1"/>
    <col min="8713" max="8713" width="10.140625" style="1" bestFit="1" customWidth="1"/>
    <col min="8714" max="8714" width="15.140625" style="1" customWidth="1"/>
    <col min="8715" max="8715" width="14.7109375" style="1" customWidth="1"/>
    <col min="8716" max="8716" width="12.5703125" style="1" bestFit="1" customWidth="1"/>
    <col min="8717" max="8717" width="6" style="1" bestFit="1" customWidth="1"/>
    <col min="8718" max="8718" width="8.7109375" style="1" bestFit="1" customWidth="1"/>
    <col min="8719" max="8960" width="14.7109375" style="1"/>
    <col min="8961" max="8961" width="5.140625" style="1" bestFit="1" customWidth="1"/>
    <col min="8962" max="8962" width="10.7109375" style="1" bestFit="1" customWidth="1"/>
    <col min="8963" max="8963" width="8.7109375" style="1" bestFit="1" customWidth="1"/>
    <col min="8964" max="8964" width="13.28515625" style="1" bestFit="1" customWidth="1"/>
    <col min="8965" max="8965" width="12.5703125" style="1" bestFit="1" customWidth="1"/>
    <col min="8966" max="8966" width="6.28515625" style="1" bestFit="1" customWidth="1"/>
    <col min="8967" max="8967" width="8.85546875" style="1" bestFit="1" customWidth="1"/>
    <col min="8968" max="8968" width="14.140625" style="1" bestFit="1" customWidth="1"/>
    <col min="8969" max="8969" width="10.140625" style="1" bestFit="1" customWidth="1"/>
    <col min="8970" max="8970" width="15.140625" style="1" customWidth="1"/>
    <col min="8971" max="8971" width="14.7109375" style="1" customWidth="1"/>
    <col min="8972" max="8972" width="12.5703125" style="1" bestFit="1" customWidth="1"/>
    <col min="8973" max="8973" width="6" style="1" bestFit="1" customWidth="1"/>
    <col min="8974" max="8974" width="8.7109375" style="1" bestFit="1" customWidth="1"/>
    <col min="8975" max="9216" width="14.7109375" style="1"/>
    <col min="9217" max="9217" width="5.140625" style="1" bestFit="1" customWidth="1"/>
    <col min="9218" max="9218" width="10.7109375" style="1" bestFit="1" customWidth="1"/>
    <col min="9219" max="9219" width="8.7109375" style="1" bestFit="1" customWidth="1"/>
    <col min="9220" max="9220" width="13.28515625" style="1" bestFit="1" customWidth="1"/>
    <col min="9221" max="9221" width="12.5703125" style="1" bestFit="1" customWidth="1"/>
    <col min="9222" max="9222" width="6.28515625" style="1" bestFit="1" customWidth="1"/>
    <col min="9223" max="9223" width="8.85546875" style="1" bestFit="1" customWidth="1"/>
    <col min="9224" max="9224" width="14.140625" style="1" bestFit="1" customWidth="1"/>
    <col min="9225" max="9225" width="10.140625" style="1" bestFit="1" customWidth="1"/>
    <col min="9226" max="9226" width="15.140625" style="1" customWidth="1"/>
    <col min="9227" max="9227" width="14.7109375" style="1" customWidth="1"/>
    <col min="9228" max="9228" width="12.5703125" style="1" bestFit="1" customWidth="1"/>
    <col min="9229" max="9229" width="6" style="1" bestFit="1" customWidth="1"/>
    <col min="9230" max="9230" width="8.7109375" style="1" bestFit="1" customWidth="1"/>
    <col min="9231" max="9472" width="14.7109375" style="1"/>
    <col min="9473" max="9473" width="5.140625" style="1" bestFit="1" customWidth="1"/>
    <col min="9474" max="9474" width="10.7109375" style="1" bestFit="1" customWidth="1"/>
    <col min="9475" max="9475" width="8.7109375" style="1" bestFit="1" customWidth="1"/>
    <col min="9476" max="9476" width="13.28515625" style="1" bestFit="1" customWidth="1"/>
    <col min="9477" max="9477" width="12.5703125" style="1" bestFit="1" customWidth="1"/>
    <col min="9478" max="9478" width="6.28515625" style="1" bestFit="1" customWidth="1"/>
    <col min="9479" max="9479" width="8.85546875" style="1" bestFit="1" customWidth="1"/>
    <col min="9480" max="9480" width="14.140625" style="1" bestFit="1" customWidth="1"/>
    <col min="9481" max="9481" width="10.140625" style="1" bestFit="1" customWidth="1"/>
    <col min="9482" max="9482" width="15.140625" style="1" customWidth="1"/>
    <col min="9483" max="9483" width="14.7109375" style="1" customWidth="1"/>
    <col min="9484" max="9484" width="12.5703125" style="1" bestFit="1" customWidth="1"/>
    <col min="9485" max="9485" width="6" style="1" bestFit="1" customWidth="1"/>
    <col min="9486" max="9486" width="8.7109375" style="1" bestFit="1" customWidth="1"/>
    <col min="9487" max="9728" width="14.7109375" style="1"/>
    <col min="9729" max="9729" width="5.140625" style="1" bestFit="1" customWidth="1"/>
    <col min="9730" max="9730" width="10.7109375" style="1" bestFit="1" customWidth="1"/>
    <col min="9731" max="9731" width="8.7109375" style="1" bestFit="1" customWidth="1"/>
    <col min="9732" max="9732" width="13.28515625" style="1" bestFit="1" customWidth="1"/>
    <col min="9733" max="9733" width="12.5703125" style="1" bestFit="1" customWidth="1"/>
    <col min="9734" max="9734" width="6.28515625" style="1" bestFit="1" customWidth="1"/>
    <col min="9735" max="9735" width="8.85546875" style="1" bestFit="1" customWidth="1"/>
    <col min="9736" max="9736" width="14.140625" style="1" bestFit="1" customWidth="1"/>
    <col min="9737" max="9737" width="10.140625" style="1" bestFit="1" customWidth="1"/>
    <col min="9738" max="9738" width="15.140625" style="1" customWidth="1"/>
    <col min="9739" max="9739" width="14.7109375" style="1" customWidth="1"/>
    <col min="9740" max="9740" width="12.5703125" style="1" bestFit="1" customWidth="1"/>
    <col min="9741" max="9741" width="6" style="1" bestFit="1" customWidth="1"/>
    <col min="9742" max="9742" width="8.7109375" style="1" bestFit="1" customWidth="1"/>
    <col min="9743" max="9984" width="14.7109375" style="1"/>
    <col min="9985" max="9985" width="5.140625" style="1" bestFit="1" customWidth="1"/>
    <col min="9986" max="9986" width="10.7109375" style="1" bestFit="1" customWidth="1"/>
    <col min="9987" max="9987" width="8.7109375" style="1" bestFit="1" customWidth="1"/>
    <col min="9988" max="9988" width="13.28515625" style="1" bestFit="1" customWidth="1"/>
    <col min="9989" max="9989" width="12.5703125" style="1" bestFit="1" customWidth="1"/>
    <col min="9990" max="9990" width="6.28515625" style="1" bestFit="1" customWidth="1"/>
    <col min="9991" max="9991" width="8.85546875" style="1" bestFit="1" customWidth="1"/>
    <col min="9992" max="9992" width="14.140625" style="1" bestFit="1" customWidth="1"/>
    <col min="9993" max="9993" width="10.140625" style="1" bestFit="1" customWidth="1"/>
    <col min="9994" max="9994" width="15.140625" style="1" customWidth="1"/>
    <col min="9995" max="9995" width="14.7109375" style="1" customWidth="1"/>
    <col min="9996" max="9996" width="12.5703125" style="1" bestFit="1" customWidth="1"/>
    <col min="9997" max="9997" width="6" style="1" bestFit="1" customWidth="1"/>
    <col min="9998" max="9998" width="8.7109375" style="1" bestFit="1" customWidth="1"/>
    <col min="9999" max="10240" width="14.7109375" style="1"/>
    <col min="10241" max="10241" width="5.140625" style="1" bestFit="1" customWidth="1"/>
    <col min="10242" max="10242" width="10.7109375" style="1" bestFit="1" customWidth="1"/>
    <col min="10243" max="10243" width="8.7109375" style="1" bestFit="1" customWidth="1"/>
    <col min="10244" max="10244" width="13.28515625" style="1" bestFit="1" customWidth="1"/>
    <col min="10245" max="10245" width="12.5703125" style="1" bestFit="1" customWidth="1"/>
    <col min="10246" max="10246" width="6.28515625" style="1" bestFit="1" customWidth="1"/>
    <col min="10247" max="10247" width="8.85546875" style="1" bestFit="1" customWidth="1"/>
    <col min="10248" max="10248" width="14.140625" style="1" bestFit="1" customWidth="1"/>
    <col min="10249" max="10249" width="10.140625" style="1" bestFit="1" customWidth="1"/>
    <col min="10250" max="10250" width="15.140625" style="1" customWidth="1"/>
    <col min="10251" max="10251" width="14.7109375" style="1" customWidth="1"/>
    <col min="10252" max="10252" width="12.5703125" style="1" bestFit="1" customWidth="1"/>
    <col min="10253" max="10253" width="6" style="1" bestFit="1" customWidth="1"/>
    <col min="10254" max="10254" width="8.7109375" style="1" bestFit="1" customWidth="1"/>
    <col min="10255" max="10496" width="14.7109375" style="1"/>
    <col min="10497" max="10497" width="5.140625" style="1" bestFit="1" customWidth="1"/>
    <col min="10498" max="10498" width="10.7109375" style="1" bestFit="1" customWidth="1"/>
    <col min="10499" max="10499" width="8.7109375" style="1" bestFit="1" customWidth="1"/>
    <col min="10500" max="10500" width="13.28515625" style="1" bestFit="1" customWidth="1"/>
    <col min="10501" max="10501" width="12.5703125" style="1" bestFit="1" customWidth="1"/>
    <col min="10502" max="10502" width="6.28515625" style="1" bestFit="1" customWidth="1"/>
    <col min="10503" max="10503" width="8.85546875" style="1" bestFit="1" customWidth="1"/>
    <col min="10504" max="10504" width="14.140625" style="1" bestFit="1" customWidth="1"/>
    <col min="10505" max="10505" width="10.140625" style="1" bestFit="1" customWidth="1"/>
    <col min="10506" max="10506" width="15.140625" style="1" customWidth="1"/>
    <col min="10507" max="10507" width="14.7109375" style="1" customWidth="1"/>
    <col min="10508" max="10508" width="12.5703125" style="1" bestFit="1" customWidth="1"/>
    <col min="10509" max="10509" width="6" style="1" bestFit="1" customWidth="1"/>
    <col min="10510" max="10510" width="8.7109375" style="1" bestFit="1" customWidth="1"/>
    <col min="10511" max="10752" width="14.7109375" style="1"/>
    <col min="10753" max="10753" width="5.140625" style="1" bestFit="1" customWidth="1"/>
    <col min="10754" max="10754" width="10.7109375" style="1" bestFit="1" customWidth="1"/>
    <col min="10755" max="10755" width="8.7109375" style="1" bestFit="1" customWidth="1"/>
    <col min="10756" max="10756" width="13.28515625" style="1" bestFit="1" customWidth="1"/>
    <col min="10757" max="10757" width="12.5703125" style="1" bestFit="1" customWidth="1"/>
    <col min="10758" max="10758" width="6.28515625" style="1" bestFit="1" customWidth="1"/>
    <col min="10759" max="10759" width="8.85546875" style="1" bestFit="1" customWidth="1"/>
    <col min="10760" max="10760" width="14.140625" style="1" bestFit="1" customWidth="1"/>
    <col min="10761" max="10761" width="10.140625" style="1" bestFit="1" customWidth="1"/>
    <col min="10762" max="10762" width="15.140625" style="1" customWidth="1"/>
    <col min="10763" max="10763" width="14.7109375" style="1" customWidth="1"/>
    <col min="10764" max="10764" width="12.5703125" style="1" bestFit="1" customWidth="1"/>
    <col min="10765" max="10765" width="6" style="1" bestFit="1" customWidth="1"/>
    <col min="10766" max="10766" width="8.7109375" style="1" bestFit="1" customWidth="1"/>
    <col min="10767" max="11008" width="14.7109375" style="1"/>
    <col min="11009" max="11009" width="5.140625" style="1" bestFit="1" customWidth="1"/>
    <col min="11010" max="11010" width="10.7109375" style="1" bestFit="1" customWidth="1"/>
    <col min="11011" max="11011" width="8.7109375" style="1" bestFit="1" customWidth="1"/>
    <col min="11012" max="11012" width="13.28515625" style="1" bestFit="1" customWidth="1"/>
    <col min="11013" max="11013" width="12.5703125" style="1" bestFit="1" customWidth="1"/>
    <col min="11014" max="11014" width="6.28515625" style="1" bestFit="1" customWidth="1"/>
    <col min="11015" max="11015" width="8.85546875" style="1" bestFit="1" customWidth="1"/>
    <col min="11016" max="11016" width="14.140625" style="1" bestFit="1" customWidth="1"/>
    <col min="11017" max="11017" width="10.140625" style="1" bestFit="1" customWidth="1"/>
    <col min="11018" max="11018" width="15.140625" style="1" customWidth="1"/>
    <col min="11019" max="11019" width="14.7109375" style="1" customWidth="1"/>
    <col min="11020" max="11020" width="12.5703125" style="1" bestFit="1" customWidth="1"/>
    <col min="11021" max="11021" width="6" style="1" bestFit="1" customWidth="1"/>
    <col min="11022" max="11022" width="8.7109375" style="1" bestFit="1" customWidth="1"/>
    <col min="11023" max="11264" width="14.7109375" style="1"/>
    <col min="11265" max="11265" width="5.140625" style="1" bestFit="1" customWidth="1"/>
    <col min="11266" max="11266" width="10.7109375" style="1" bestFit="1" customWidth="1"/>
    <col min="11267" max="11267" width="8.7109375" style="1" bestFit="1" customWidth="1"/>
    <col min="11268" max="11268" width="13.28515625" style="1" bestFit="1" customWidth="1"/>
    <col min="11269" max="11269" width="12.5703125" style="1" bestFit="1" customWidth="1"/>
    <col min="11270" max="11270" width="6.28515625" style="1" bestFit="1" customWidth="1"/>
    <col min="11271" max="11271" width="8.85546875" style="1" bestFit="1" customWidth="1"/>
    <col min="11272" max="11272" width="14.140625" style="1" bestFit="1" customWidth="1"/>
    <col min="11273" max="11273" width="10.140625" style="1" bestFit="1" customWidth="1"/>
    <col min="11274" max="11274" width="15.140625" style="1" customWidth="1"/>
    <col min="11275" max="11275" width="14.7109375" style="1" customWidth="1"/>
    <col min="11276" max="11276" width="12.5703125" style="1" bestFit="1" customWidth="1"/>
    <col min="11277" max="11277" width="6" style="1" bestFit="1" customWidth="1"/>
    <col min="11278" max="11278" width="8.7109375" style="1" bestFit="1" customWidth="1"/>
    <col min="11279" max="11520" width="14.7109375" style="1"/>
    <col min="11521" max="11521" width="5.140625" style="1" bestFit="1" customWidth="1"/>
    <col min="11522" max="11522" width="10.7109375" style="1" bestFit="1" customWidth="1"/>
    <col min="11523" max="11523" width="8.7109375" style="1" bestFit="1" customWidth="1"/>
    <col min="11524" max="11524" width="13.28515625" style="1" bestFit="1" customWidth="1"/>
    <col min="11525" max="11525" width="12.5703125" style="1" bestFit="1" customWidth="1"/>
    <col min="11526" max="11526" width="6.28515625" style="1" bestFit="1" customWidth="1"/>
    <col min="11527" max="11527" width="8.85546875" style="1" bestFit="1" customWidth="1"/>
    <col min="11528" max="11528" width="14.140625" style="1" bestFit="1" customWidth="1"/>
    <col min="11529" max="11529" width="10.140625" style="1" bestFit="1" customWidth="1"/>
    <col min="11530" max="11530" width="15.140625" style="1" customWidth="1"/>
    <col min="11531" max="11531" width="14.7109375" style="1" customWidth="1"/>
    <col min="11532" max="11532" width="12.5703125" style="1" bestFit="1" customWidth="1"/>
    <col min="11533" max="11533" width="6" style="1" bestFit="1" customWidth="1"/>
    <col min="11534" max="11534" width="8.7109375" style="1" bestFit="1" customWidth="1"/>
    <col min="11535" max="11776" width="14.7109375" style="1"/>
    <col min="11777" max="11777" width="5.140625" style="1" bestFit="1" customWidth="1"/>
    <col min="11778" max="11778" width="10.7109375" style="1" bestFit="1" customWidth="1"/>
    <col min="11779" max="11779" width="8.7109375" style="1" bestFit="1" customWidth="1"/>
    <col min="11780" max="11780" width="13.28515625" style="1" bestFit="1" customWidth="1"/>
    <col min="11781" max="11781" width="12.5703125" style="1" bestFit="1" customWidth="1"/>
    <col min="11782" max="11782" width="6.28515625" style="1" bestFit="1" customWidth="1"/>
    <col min="11783" max="11783" width="8.85546875" style="1" bestFit="1" customWidth="1"/>
    <col min="11784" max="11784" width="14.140625" style="1" bestFit="1" customWidth="1"/>
    <col min="11785" max="11785" width="10.140625" style="1" bestFit="1" customWidth="1"/>
    <col min="11786" max="11786" width="15.140625" style="1" customWidth="1"/>
    <col min="11787" max="11787" width="14.7109375" style="1" customWidth="1"/>
    <col min="11788" max="11788" width="12.5703125" style="1" bestFit="1" customWidth="1"/>
    <col min="11789" max="11789" width="6" style="1" bestFit="1" customWidth="1"/>
    <col min="11790" max="11790" width="8.7109375" style="1" bestFit="1" customWidth="1"/>
    <col min="11791" max="12032" width="14.7109375" style="1"/>
    <col min="12033" max="12033" width="5.140625" style="1" bestFit="1" customWidth="1"/>
    <col min="12034" max="12034" width="10.7109375" style="1" bestFit="1" customWidth="1"/>
    <col min="12035" max="12035" width="8.7109375" style="1" bestFit="1" customWidth="1"/>
    <col min="12036" max="12036" width="13.28515625" style="1" bestFit="1" customWidth="1"/>
    <col min="12037" max="12037" width="12.5703125" style="1" bestFit="1" customWidth="1"/>
    <col min="12038" max="12038" width="6.28515625" style="1" bestFit="1" customWidth="1"/>
    <col min="12039" max="12039" width="8.85546875" style="1" bestFit="1" customWidth="1"/>
    <col min="12040" max="12040" width="14.140625" style="1" bestFit="1" customWidth="1"/>
    <col min="12041" max="12041" width="10.140625" style="1" bestFit="1" customWidth="1"/>
    <col min="12042" max="12042" width="15.140625" style="1" customWidth="1"/>
    <col min="12043" max="12043" width="14.7109375" style="1" customWidth="1"/>
    <col min="12044" max="12044" width="12.5703125" style="1" bestFit="1" customWidth="1"/>
    <col min="12045" max="12045" width="6" style="1" bestFit="1" customWidth="1"/>
    <col min="12046" max="12046" width="8.7109375" style="1" bestFit="1" customWidth="1"/>
    <col min="12047" max="12288" width="14.7109375" style="1"/>
    <col min="12289" max="12289" width="5.140625" style="1" bestFit="1" customWidth="1"/>
    <col min="12290" max="12290" width="10.7109375" style="1" bestFit="1" customWidth="1"/>
    <col min="12291" max="12291" width="8.7109375" style="1" bestFit="1" customWidth="1"/>
    <col min="12292" max="12292" width="13.28515625" style="1" bestFit="1" customWidth="1"/>
    <col min="12293" max="12293" width="12.5703125" style="1" bestFit="1" customWidth="1"/>
    <col min="12294" max="12294" width="6.28515625" style="1" bestFit="1" customWidth="1"/>
    <col min="12295" max="12295" width="8.85546875" style="1" bestFit="1" customWidth="1"/>
    <col min="12296" max="12296" width="14.140625" style="1" bestFit="1" customWidth="1"/>
    <col min="12297" max="12297" width="10.140625" style="1" bestFit="1" customWidth="1"/>
    <col min="12298" max="12298" width="15.140625" style="1" customWidth="1"/>
    <col min="12299" max="12299" width="14.7109375" style="1" customWidth="1"/>
    <col min="12300" max="12300" width="12.5703125" style="1" bestFit="1" customWidth="1"/>
    <col min="12301" max="12301" width="6" style="1" bestFit="1" customWidth="1"/>
    <col min="12302" max="12302" width="8.7109375" style="1" bestFit="1" customWidth="1"/>
    <col min="12303" max="12544" width="14.7109375" style="1"/>
    <col min="12545" max="12545" width="5.140625" style="1" bestFit="1" customWidth="1"/>
    <col min="12546" max="12546" width="10.7109375" style="1" bestFit="1" customWidth="1"/>
    <col min="12547" max="12547" width="8.7109375" style="1" bestFit="1" customWidth="1"/>
    <col min="12548" max="12548" width="13.28515625" style="1" bestFit="1" customWidth="1"/>
    <col min="12549" max="12549" width="12.5703125" style="1" bestFit="1" customWidth="1"/>
    <col min="12550" max="12550" width="6.28515625" style="1" bestFit="1" customWidth="1"/>
    <col min="12551" max="12551" width="8.85546875" style="1" bestFit="1" customWidth="1"/>
    <col min="12552" max="12552" width="14.140625" style="1" bestFit="1" customWidth="1"/>
    <col min="12553" max="12553" width="10.140625" style="1" bestFit="1" customWidth="1"/>
    <col min="12554" max="12554" width="15.140625" style="1" customWidth="1"/>
    <col min="12555" max="12555" width="14.7109375" style="1" customWidth="1"/>
    <col min="12556" max="12556" width="12.5703125" style="1" bestFit="1" customWidth="1"/>
    <col min="12557" max="12557" width="6" style="1" bestFit="1" customWidth="1"/>
    <col min="12558" max="12558" width="8.7109375" style="1" bestFit="1" customWidth="1"/>
    <col min="12559" max="12800" width="14.7109375" style="1"/>
    <col min="12801" max="12801" width="5.140625" style="1" bestFit="1" customWidth="1"/>
    <col min="12802" max="12802" width="10.7109375" style="1" bestFit="1" customWidth="1"/>
    <col min="12803" max="12803" width="8.7109375" style="1" bestFit="1" customWidth="1"/>
    <col min="12804" max="12804" width="13.28515625" style="1" bestFit="1" customWidth="1"/>
    <col min="12805" max="12805" width="12.5703125" style="1" bestFit="1" customWidth="1"/>
    <col min="12806" max="12806" width="6.28515625" style="1" bestFit="1" customWidth="1"/>
    <col min="12807" max="12807" width="8.85546875" style="1" bestFit="1" customWidth="1"/>
    <col min="12808" max="12808" width="14.140625" style="1" bestFit="1" customWidth="1"/>
    <col min="12809" max="12809" width="10.140625" style="1" bestFit="1" customWidth="1"/>
    <col min="12810" max="12810" width="15.140625" style="1" customWidth="1"/>
    <col min="12811" max="12811" width="14.7109375" style="1" customWidth="1"/>
    <col min="12812" max="12812" width="12.5703125" style="1" bestFit="1" customWidth="1"/>
    <col min="12813" max="12813" width="6" style="1" bestFit="1" customWidth="1"/>
    <col min="12814" max="12814" width="8.7109375" style="1" bestFit="1" customWidth="1"/>
    <col min="12815" max="13056" width="14.7109375" style="1"/>
    <col min="13057" max="13057" width="5.140625" style="1" bestFit="1" customWidth="1"/>
    <col min="13058" max="13058" width="10.7109375" style="1" bestFit="1" customWidth="1"/>
    <col min="13059" max="13059" width="8.7109375" style="1" bestFit="1" customWidth="1"/>
    <col min="13060" max="13060" width="13.28515625" style="1" bestFit="1" customWidth="1"/>
    <col min="13061" max="13061" width="12.5703125" style="1" bestFit="1" customWidth="1"/>
    <col min="13062" max="13062" width="6.28515625" style="1" bestFit="1" customWidth="1"/>
    <col min="13063" max="13063" width="8.85546875" style="1" bestFit="1" customWidth="1"/>
    <col min="13064" max="13064" width="14.140625" style="1" bestFit="1" customWidth="1"/>
    <col min="13065" max="13065" width="10.140625" style="1" bestFit="1" customWidth="1"/>
    <col min="13066" max="13066" width="15.140625" style="1" customWidth="1"/>
    <col min="13067" max="13067" width="14.7109375" style="1" customWidth="1"/>
    <col min="13068" max="13068" width="12.5703125" style="1" bestFit="1" customWidth="1"/>
    <col min="13069" max="13069" width="6" style="1" bestFit="1" customWidth="1"/>
    <col min="13070" max="13070" width="8.7109375" style="1" bestFit="1" customWidth="1"/>
    <col min="13071" max="13312" width="14.7109375" style="1"/>
    <col min="13313" max="13313" width="5.140625" style="1" bestFit="1" customWidth="1"/>
    <col min="13314" max="13314" width="10.7109375" style="1" bestFit="1" customWidth="1"/>
    <col min="13315" max="13315" width="8.7109375" style="1" bestFit="1" customWidth="1"/>
    <col min="13316" max="13316" width="13.28515625" style="1" bestFit="1" customWidth="1"/>
    <col min="13317" max="13317" width="12.5703125" style="1" bestFit="1" customWidth="1"/>
    <col min="13318" max="13318" width="6.28515625" style="1" bestFit="1" customWidth="1"/>
    <col min="13319" max="13319" width="8.85546875" style="1" bestFit="1" customWidth="1"/>
    <col min="13320" max="13320" width="14.140625" style="1" bestFit="1" customWidth="1"/>
    <col min="13321" max="13321" width="10.140625" style="1" bestFit="1" customWidth="1"/>
    <col min="13322" max="13322" width="15.140625" style="1" customWidth="1"/>
    <col min="13323" max="13323" width="14.7109375" style="1" customWidth="1"/>
    <col min="13324" max="13324" width="12.5703125" style="1" bestFit="1" customWidth="1"/>
    <col min="13325" max="13325" width="6" style="1" bestFit="1" customWidth="1"/>
    <col min="13326" max="13326" width="8.7109375" style="1" bestFit="1" customWidth="1"/>
    <col min="13327" max="13568" width="14.7109375" style="1"/>
    <col min="13569" max="13569" width="5.140625" style="1" bestFit="1" customWidth="1"/>
    <col min="13570" max="13570" width="10.7109375" style="1" bestFit="1" customWidth="1"/>
    <col min="13571" max="13571" width="8.7109375" style="1" bestFit="1" customWidth="1"/>
    <col min="13572" max="13572" width="13.28515625" style="1" bestFit="1" customWidth="1"/>
    <col min="13573" max="13573" width="12.5703125" style="1" bestFit="1" customWidth="1"/>
    <col min="13574" max="13574" width="6.28515625" style="1" bestFit="1" customWidth="1"/>
    <col min="13575" max="13575" width="8.85546875" style="1" bestFit="1" customWidth="1"/>
    <col min="13576" max="13576" width="14.140625" style="1" bestFit="1" customWidth="1"/>
    <col min="13577" max="13577" width="10.140625" style="1" bestFit="1" customWidth="1"/>
    <col min="13578" max="13578" width="15.140625" style="1" customWidth="1"/>
    <col min="13579" max="13579" width="14.7109375" style="1" customWidth="1"/>
    <col min="13580" max="13580" width="12.5703125" style="1" bestFit="1" customWidth="1"/>
    <col min="13581" max="13581" width="6" style="1" bestFit="1" customWidth="1"/>
    <col min="13582" max="13582" width="8.7109375" style="1" bestFit="1" customWidth="1"/>
    <col min="13583" max="13824" width="14.7109375" style="1"/>
    <col min="13825" max="13825" width="5.140625" style="1" bestFit="1" customWidth="1"/>
    <col min="13826" max="13826" width="10.7109375" style="1" bestFit="1" customWidth="1"/>
    <col min="13827" max="13827" width="8.7109375" style="1" bestFit="1" customWidth="1"/>
    <col min="13828" max="13828" width="13.28515625" style="1" bestFit="1" customWidth="1"/>
    <col min="13829" max="13829" width="12.5703125" style="1" bestFit="1" customWidth="1"/>
    <col min="13830" max="13830" width="6.28515625" style="1" bestFit="1" customWidth="1"/>
    <col min="13831" max="13831" width="8.85546875" style="1" bestFit="1" customWidth="1"/>
    <col min="13832" max="13832" width="14.140625" style="1" bestFit="1" customWidth="1"/>
    <col min="13833" max="13833" width="10.140625" style="1" bestFit="1" customWidth="1"/>
    <col min="13834" max="13834" width="15.140625" style="1" customWidth="1"/>
    <col min="13835" max="13835" width="14.7109375" style="1" customWidth="1"/>
    <col min="13836" max="13836" width="12.5703125" style="1" bestFit="1" customWidth="1"/>
    <col min="13837" max="13837" width="6" style="1" bestFit="1" customWidth="1"/>
    <col min="13838" max="13838" width="8.7109375" style="1" bestFit="1" customWidth="1"/>
    <col min="13839" max="14080" width="14.7109375" style="1"/>
    <col min="14081" max="14081" width="5.140625" style="1" bestFit="1" customWidth="1"/>
    <col min="14082" max="14082" width="10.7109375" style="1" bestFit="1" customWidth="1"/>
    <col min="14083" max="14083" width="8.7109375" style="1" bestFit="1" customWidth="1"/>
    <col min="14084" max="14084" width="13.28515625" style="1" bestFit="1" customWidth="1"/>
    <col min="14085" max="14085" width="12.5703125" style="1" bestFit="1" customWidth="1"/>
    <col min="14086" max="14086" width="6.28515625" style="1" bestFit="1" customWidth="1"/>
    <col min="14087" max="14087" width="8.85546875" style="1" bestFit="1" customWidth="1"/>
    <col min="14088" max="14088" width="14.140625" style="1" bestFit="1" customWidth="1"/>
    <col min="14089" max="14089" width="10.140625" style="1" bestFit="1" customWidth="1"/>
    <col min="14090" max="14090" width="15.140625" style="1" customWidth="1"/>
    <col min="14091" max="14091" width="14.7109375" style="1" customWidth="1"/>
    <col min="14092" max="14092" width="12.5703125" style="1" bestFit="1" customWidth="1"/>
    <col min="14093" max="14093" width="6" style="1" bestFit="1" customWidth="1"/>
    <col min="14094" max="14094" width="8.7109375" style="1" bestFit="1" customWidth="1"/>
    <col min="14095" max="14336" width="14.7109375" style="1"/>
    <col min="14337" max="14337" width="5.140625" style="1" bestFit="1" customWidth="1"/>
    <col min="14338" max="14338" width="10.7109375" style="1" bestFit="1" customWidth="1"/>
    <col min="14339" max="14339" width="8.7109375" style="1" bestFit="1" customWidth="1"/>
    <col min="14340" max="14340" width="13.28515625" style="1" bestFit="1" customWidth="1"/>
    <col min="14341" max="14341" width="12.5703125" style="1" bestFit="1" customWidth="1"/>
    <col min="14342" max="14342" width="6.28515625" style="1" bestFit="1" customWidth="1"/>
    <col min="14343" max="14343" width="8.85546875" style="1" bestFit="1" customWidth="1"/>
    <col min="14344" max="14344" width="14.140625" style="1" bestFit="1" customWidth="1"/>
    <col min="14345" max="14345" width="10.140625" style="1" bestFit="1" customWidth="1"/>
    <col min="14346" max="14346" width="15.140625" style="1" customWidth="1"/>
    <col min="14347" max="14347" width="14.7109375" style="1" customWidth="1"/>
    <col min="14348" max="14348" width="12.5703125" style="1" bestFit="1" customWidth="1"/>
    <col min="14349" max="14349" width="6" style="1" bestFit="1" customWidth="1"/>
    <col min="14350" max="14350" width="8.7109375" style="1" bestFit="1" customWidth="1"/>
    <col min="14351" max="14592" width="14.7109375" style="1"/>
    <col min="14593" max="14593" width="5.140625" style="1" bestFit="1" customWidth="1"/>
    <col min="14594" max="14594" width="10.7109375" style="1" bestFit="1" customWidth="1"/>
    <col min="14595" max="14595" width="8.7109375" style="1" bestFit="1" customWidth="1"/>
    <col min="14596" max="14596" width="13.28515625" style="1" bestFit="1" customWidth="1"/>
    <col min="14597" max="14597" width="12.5703125" style="1" bestFit="1" customWidth="1"/>
    <col min="14598" max="14598" width="6.28515625" style="1" bestFit="1" customWidth="1"/>
    <col min="14599" max="14599" width="8.85546875" style="1" bestFit="1" customWidth="1"/>
    <col min="14600" max="14600" width="14.140625" style="1" bestFit="1" customWidth="1"/>
    <col min="14601" max="14601" width="10.140625" style="1" bestFit="1" customWidth="1"/>
    <col min="14602" max="14602" width="15.140625" style="1" customWidth="1"/>
    <col min="14603" max="14603" width="14.7109375" style="1" customWidth="1"/>
    <col min="14604" max="14604" width="12.5703125" style="1" bestFit="1" customWidth="1"/>
    <col min="14605" max="14605" width="6" style="1" bestFit="1" customWidth="1"/>
    <col min="14606" max="14606" width="8.7109375" style="1" bestFit="1" customWidth="1"/>
    <col min="14607" max="14848" width="14.7109375" style="1"/>
    <col min="14849" max="14849" width="5.140625" style="1" bestFit="1" customWidth="1"/>
    <col min="14850" max="14850" width="10.7109375" style="1" bestFit="1" customWidth="1"/>
    <col min="14851" max="14851" width="8.7109375" style="1" bestFit="1" customWidth="1"/>
    <col min="14852" max="14852" width="13.28515625" style="1" bestFit="1" customWidth="1"/>
    <col min="14853" max="14853" width="12.5703125" style="1" bestFit="1" customWidth="1"/>
    <col min="14854" max="14854" width="6.28515625" style="1" bestFit="1" customWidth="1"/>
    <col min="14855" max="14855" width="8.85546875" style="1" bestFit="1" customWidth="1"/>
    <col min="14856" max="14856" width="14.140625" style="1" bestFit="1" customWidth="1"/>
    <col min="14857" max="14857" width="10.140625" style="1" bestFit="1" customWidth="1"/>
    <col min="14858" max="14858" width="15.140625" style="1" customWidth="1"/>
    <col min="14859" max="14859" width="14.7109375" style="1" customWidth="1"/>
    <col min="14860" max="14860" width="12.5703125" style="1" bestFit="1" customWidth="1"/>
    <col min="14861" max="14861" width="6" style="1" bestFit="1" customWidth="1"/>
    <col min="14862" max="14862" width="8.7109375" style="1" bestFit="1" customWidth="1"/>
    <col min="14863" max="15104" width="14.7109375" style="1"/>
    <col min="15105" max="15105" width="5.140625" style="1" bestFit="1" customWidth="1"/>
    <col min="15106" max="15106" width="10.7109375" style="1" bestFit="1" customWidth="1"/>
    <col min="15107" max="15107" width="8.7109375" style="1" bestFit="1" customWidth="1"/>
    <col min="15108" max="15108" width="13.28515625" style="1" bestFit="1" customWidth="1"/>
    <col min="15109" max="15109" width="12.5703125" style="1" bestFit="1" customWidth="1"/>
    <col min="15110" max="15110" width="6.28515625" style="1" bestFit="1" customWidth="1"/>
    <col min="15111" max="15111" width="8.85546875" style="1" bestFit="1" customWidth="1"/>
    <col min="15112" max="15112" width="14.140625" style="1" bestFit="1" customWidth="1"/>
    <col min="15113" max="15113" width="10.140625" style="1" bestFit="1" customWidth="1"/>
    <col min="15114" max="15114" width="15.140625" style="1" customWidth="1"/>
    <col min="15115" max="15115" width="14.7109375" style="1" customWidth="1"/>
    <col min="15116" max="15116" width="12.5703125" style="1" bestFit="1" customWidth="1"/>
    <col min="15117" max="15117" width="6" style="1" bestFit="1" customWidth="1"/>
    <col min="15118" max="15118" width="8.7109375" style="1" bestFit="1" customWidth="1"/>
    <col min="15119" max="15360" width="14.7109375" style="1"/>
    <col min="15361" max="15361" width="5.140625" style="1" bestFit="1" customWidth="1"/>
    <col min="15362" max="15362" width="10.7109375" style="1" bestFit="1" customWidth="1"/>
    <col min="15363" max="15363" width="8.7109375" style="1" bestFit="1" customWidth="1"/>
    <col min="15364" max="15364" width="13.28515625" style="1" bestFit="1" customWidth="1"/>
    <col min="15365" max="15365" width="12.5703125" style="1" bestFit="1" customWidth="1"/>
    <col min="15366" max="15366" width="6.28515625" style="1" bestFit="1" customWidth="1"/>
    <col min="15367" max="15367" width="8.85546875" style="1" bestFit="1" customWidth="1"/>
    <col min="15368" max="15368" width="14.140625" style="1" bestFit="1" customWidth="1"/>
    <col min="15369" max="15369" width="10.140625" style="1" bestFit="1" customWidth="1"/>
    <col min="15370" max="15370" width="15.140625" style="1" customWidth="1"/>
    <col min="15371" max="15371" width="14.7109375" style="1" customWidth="1"/>
    <col min="15372" max="15372" width="12.5703125" style="1" bestFit="1" customWidth="1"/>
    <col min="15373" max="15373" width="6" style="1" bestFit="1" customWidth="1"/>
    <col min="15374" max="15374" width="8.7109375" style="1" bestFit="1" customWidth="1"/>
    <col min="15375" max="15616" width="14.7109375" style="1"/>
    <col min="15617" max="15617" width="5.140625" style="1" bestFit="1" customWidth="1"/>
    <col min="15618" max="15618" width="10.7109375" style="1" bestFit="1" customWidth="1"/>
    <col min="15619" max="15619" width="8.7109375" style="1" bestFit="1" customWidth="1"/>
    <col min="15620" max="15620" width="13.28515625" style="1" bestFit="1" customWidth="1"/>
    <col min="15621" max="15621" width="12.5703125" style="1" bestFit="1" customWidth="1"/>
    <col min="15622" max="15622" width="6.28515625" style="1" bestFit="1" customWidth="1"/>
    <col min="15623" max="15623" width="8.85546875" style="1" bestFit="1" customWidth="1"/>
    <col min="15624" max="15624" width="14.140625" style="1" bestFit="1" customWidth="1"/>
    <col min="15625" max="15625" width="10.140625" style="1" bestFit="1" customWidth="1"/>
    <col min="15626" max="15626" width="15.140625" style="1" customWidth="1"/>
    <col min="15627" max="15627" width="14.7109375" style="1" customWidth="1"/>
    <col min="15628" max="15628" width="12.5703125" style="1" bestFit="1" customWidth="1"/>
    <col min="15629" max="15629" width="6" style="1" bestFit="1" customWidth="1"/>
    <col min="15630" max="15630" width="8.7109375" style="1" bestFit="1" customWidth="1"/>
    <col min="15631" max="15872" width="14.7109375" style="1"/>
    <col min="15873" max="15873" width="5.140625" style="1" bestFit="1" customWidth="1"/>
    <col min="15874" max="15874" width="10.7109375" style="1" bestFit="1" customWidth="1"/>
    <col min="15875" max="15875" width="8.7109375" style="1" bestFit="1" customWidth="1"/>
    <col min="15876" max="15876" width="13.28515625" style="1" bestFit="1" customWidth="1"/>
    <col min="15877" max="15877" width="12.5703125" style="1" bestFit="1" customWidth="1"/>
    <col min="15878" max="15878" width="6.28515625" style="1" bestFit="1" customWidth="1"/>
    <col min="15879" max="15879" width="8.85546875" style="1" bestFit="1" customWidth="1"/>
    <col min="15880" max="15880" width="14.140625" style="1" bestFit="1" customWidth="1"/>
    <col min="15881" max="15881" width="10.140625" style="1" bestFit="1" customWidth="1"/>
    <col min="15882" max="15882" width="15.140625" style="1" customWidth="1"/>
    <col min="15883" max="15883" width="14.7109375" style="1" customWidth="1"/>
    <col min="15884" max="15884" width="12.5703125" style="1" bestFit="1" customWidth="1"/>
    <col min="15885" max="15885" width="6" style="1" bestFit="1" customWidth="1"/>
    <col min="15886" max="15886" width="8.7109375" style="1" bestFit="1" customWidth="1"/>
    <col min="15887" max="16128" width="14.7109375" style="1"/>
    <col min="16129" max="16129" width="5.140625" style="1" bestFit="1" customWidth="1"/>
    <col min="16130" max="16130" width="10.7109375" style="1" bestFit="1" customWidth="1"/>
    <col min="16131" max="16131" width="8.7109375" style="1" bestFit="1" customWidth="1"/>
    <col min="16132" max="16132" width="13.28515625" style="1" bestFit="1" customWidth="1"/>
    <col min="16133" max="16133" width="12.5703125" style="1" bestFit="1" customWidth="1"/>
    <col min="16134" max="16134" width="6.28515625" style="1" bestFit="1" customWidth="1"/>
    <col min="16135" max="16135" width="8.85546875" style="1" bestFit="1" customWidth="1"/>
    <col min="16136" max="16136" width="14.140625" style="1" bestFit="1" customWidth="1"/>
    <col min="16137" max="16137" width="10.140625" style="1" bestFit="1" customWidth="1"/>
    <col min="16138" max="16138" width="15.140625" style="1" customWidth="1"/>
    <col min="16139" max="16139" width="14.7109375" style="1" customWidth="1"/>
    <col min="16140" max="16140" width="12.5703125" style="1" bestFit="1" customWidth="1"/>
    <col min="16141" max="16141" width="6" style="1" bestFit="1" customWidth="1"/>
    <col min="16142" max="16142" width="8.7109375" style="1" bestFit="1" customWidth="1"/>
    <col min="16143" max="16384" width="14.7109375" style="1"/>
  </cols>
  <sheetData>
    <row r="1" spans="1:19">
      <c r="A1" s="105" t="s">
        <v>258</v>
      </c>
      <c r="B1" s="105"/>
      <c r="C1" s="105"/>
      <c r="D1" s="105"/>
      <c r="E1" s="105"/>
      <c r="F1" s="105"/>
      <c r="G1" s="105"/>
      <c r="H1" s="105"/>
      <c r="I1" s="105"/>
      <c r="K1" s="90" t="s">
        <v>259</v>
      </c>
      <c r="L1" s="90"/>
      <c r="M1" s="90"/>
      <c r="N1" s="90"/>
      <c r="P1" s="102"/>
      <c r="Q1" s="102"/>
      <c r="R1" s="103"/>
      <c r="S1" s="104" t="s">
        <v>146</v>
      </c>
    </row>
    <row r="2" spans="1:19" ht="9.75" customHeight="1">
      <c r="A2" s="48"/>
      <c r="B2" s="48"/>
      <c r="C2" s="48"/>
      <c r="D2" s="48"/>
      <c r="E2" s="48"/>
      <c r="G2" s="48"/>
      <c r="H2" s="48"/>
      <c r="K2" s="36"/>
      <c r="L2" s="36"/>
      <c r="M2" s="36"/>
      <c r="N2" s="36"/>
    </row>
    <row r="3" spans="1:19" ht="33.75" customHeight="1">
      <c r="A3" s="98" t="s">
        <v>260</v>
      </c>
      <c r="B3" s="98" t="s">
        <v>261</v>
      </c>
      <c r="C3" s="99" t="s">
        <v>262</v>
      </c>
      <c r="D3" s="100" t="s">
        <v>48</v>
      </c>
      <c r="E3" s="100" t="s">
        <v>182</v>
      </c>
      <c r="F3" s="100" t="s">
        <v>12</v>
      </c>
      <c r="G3" s="101" t="s">
        <v>263</v>
      </c>
      <c r="H3" s="101" t="s">
        <v>264</v>
      </c>
      <c r="I3" s="100" t="s">
        <v>265</v>
      </c>
      <c r="J3" s="1"/>
      <c r="K3" s="55" t="s">
        <v>48</v>
      </c>
      <c r="L3" s="56" t="s">
        <v>182</v>
      </c>
      <c r="M3" s="56" t="s">
        <v>12</v>
      </c>
      <c r="N3" s="57" t="s">
        <v>263</v>
      </c>
      <c r="P3" s="58">
        <v>1</v>
      </c>
      <c r="Q3" s="59"/>
      <c r="R3" s="59"/>
      <c r="S3" s="40"/>
    </row>
    <row r="4" spans="1:19">
      <c r="A4" s="46" t="str">
        <f>TEXT(B4,"DDD")</f>
        <v>Sun</v>
      </c>
      <c r="B4" s="47">
        <v>46005</v>
      </c>
      <c r="C4" s="48">
        <v>32181</v>
      </c>
      <c r="D4" s="49" t="s">
        <v>266</v>
      </c>
      <c r="E4" s="50" t="s">
        <v>94</v>
      </c>
      <c r="F4" s="48">
        <v>5</v>
      </c>
      <c r="G4" s="51">
        <v>35</v>
      </c>
      <c r="H4" s="52">
        <v>7.5</v>
      </c>
      <c r="I4" s="52">
        <v>0</v>
      </c>
      <c r="J4" s="60"/>
      <c r="K4" s="61" t="s">
        <v>267</v>
      </c>
      <c r="L4" s="62" t="s">
        <v>268</v>
      </c>
      <c r="M4" s="62">
        <v>8</v>
      </c>
      <c r="N4" s="62">
        <v>35</v>
      </c>
      <c r="P4" s="58">
        <v>2</v>
      </c>
      <c r="Q4" s="59"/>
      <c r="R4" s="59"/>
      <c r="S4" s="40"/>
    </row>
    <row r="5" spans="1:19">
      <c r="A5" s="46" t="str">
        <f t="shared" ref="A5:A68" si="0">TEXT(B5,"DDD")</f>
        <v>Sun</v>
      </c>
      <c r="B5" s="47">
        <v>46005</v>
      </c>
      <c r="C5" s="53">
        <v>18804</v>
      </c>
      <c r="D5" s="49" t="s">
        <v>269</v>
      </c>
      <c r="E5" s="50" t="s">
        <v>270</v>
      </c>
      <c r="F5" s="48">
        <v>9</v>
      </c>
      <c r="G5" s="51">
        <v>36.5</v>
      </c>
      <c r="H5" s="52">
        <v>8</v>
      </c>
      <c r="I5" s="52">
        <v>0</v>
      </c>
      <c r="J5" s="60"/>
      <c r="K5" s="61" t="s">
        <v>266</v>
      </c>
      <c r="L5" s="62" t="s">
        <v>94</v>
      </c>
      <c r="M5" s="62">
        <v>5</v>
      </c>
      <c r="N5" s="62">
        <v>35</v>
      </c>
      <c r="P5" s="58">
        <v>3</v>
      </c>
      <c r="Q5" s="59"/>
      <c r="R5" s="59"/>
      <c r="S5" s="40"/>
    </row>
    <row r="6" spans="1:19">
      <c r="A6" s="46" t="str">
        <f t="shared" si="0"/>
        <v>Sun</v>
      </c>
      <c r="B6" s="47">
        <v>46005</v>
      </c>
      <c r="C6" s="53">
        <v>16696</v>
      </c>
      <c r="D6" s="49" t="s">
        <v>271</v>
      </c>
      <c r="E6" s="50" t="s">
        <v>272</v>
      </c>
      <c r="F6" s="48">
        <v>10</v>
      </c>
      <c r="G6" s="51">
        <v>40</v>
      </c>
      <c r="H6" s="52">
        <v>7.5</v>
      </c>
      <c r="I6" s="52">
        <v>0.5</v>
      </c>
      <c r="J6" s="60"/>
      <c r="K6" s="61" t="s">
        <v>269</v>
      </c>
      <c r="L6" s="62" t="s">
        <v>270</v>
      </c>
      <c r="M6" s="62">
        <v>9</v>
      </c>
      <c r="N6" s="62">
        <v>36.5</v>
      </c>
      <c r="P6" s="58">
        <v>4</v>
      </c>
      <c r="Q6" s="59"/>
      <c r="R6" s="59"/>
      <c r="S6" s="40"/>
    </row>
    <row r="7" spans="1:19">
      <c r="A7" s="46" t="str">
        <f t="shared" si="0"/>
        <v>Sun</v>
      </c>
      <c r="B7" s="47">
        <v>46005</v>
      </c>
      <c r="C7" s="48">
        <v>18809</v>
      </c>
      <c r="D7" s="49" t="s">
        <v>273</v>
      </c>
      <c r="E7" s="50" t="s">
        <v>247</v>
      </c>
      <c r="F7" s="48">
        <v>5</v>
      </c>
      <c r="G7" s="51">
        <v>35</v>
      </c>
      <c r="H7" s="52">
        <v>8.5</v>
      </c>
      <c r="I7" s="52">
        <v>1</v>
      </c>
      <c r="J7" s="60"/>
      <c r="K7" s="61" t="s">
        <v>271</v>
      </c>
      <c r="L7" s="62" t="s">
        <v>272</v>
      </c>
      <c r="M7" s="62">
        <v>10</v>
      </c>
      <c r="N7" s="62">
        <v>40</v>
      </c>
      <c r="P7" s="58">
        <v>5</v>
      </c>
      <c r="Q7" s="59"/>
      <c r="R7" s="59"/>
      <c r="S7" s="40"/>
    </row>
    <row r="8" spans="1:19">
      <c r="A8" s="46" t="str">
        <f t="shared" si="0"/>
        <v>Sun</v>
      </c>
      <c r="B8" s="47">
        <v>46005</v>
      </c>
      <c r="C8" s="48">
        <v>32164</v>
      </c>
      <c r="D8" s="49" t="s">
        <v>274</v>
      </c>
      <c r="E8" s="50" t="s">
        <v>275</v>
      </c>
      <c r="F8" s="48">
        <v>5</v>
      </c>
      <c r="G8" s="51">
        <v>40</v>
      </c>
      <c r="H8" s="52">
        <v>8</v>
      </c>
      <c r="I8" s="52">
        <v>1</v>
      </c>
      <c r="J8" s="60"/>
      <c r="K8" s="61" t="s">
        <v>273</v>
      </c>
      <c r="L8" s="62" t="s">
        <v>247</v>
      </c>
      <c r="M8" s="62">
        <v>5</v>
      </c>
      <c r="N8" s="62">
        <v>35</v>
      </c>
      <c r="P8" s="58">
        <v>6</v>
      </c>
      <c r="Q8" s="59"/>
      <c r="R8" s="59"/>
      <c r="S8" s="40"/>
    </row>
    <row r="9" spans="1:19">
      <c r="A9" s="46" t="str">
        <f t="shared" si="0"/>
        <v>Sun</v>
      </c>
      <c r="B9" s="47">
        <v>46005</v>
      </c>
      <c r="C9" s="48">
        <v>18708</v>
      </c>
      <c r="D9" s="49" t="s">
        <v>276</v>
      </c>
      <c r="E9" s="50" t="s">
        <v>94</v>
      </c>
      <c r="F9" s="48">
        <v>3</v>
      </c>
      <c r="G9" s="51">
        <v>41.5</v>
      </c>
      <c r="H9" s="52">
        <v>8.5</v>
      </c>
      <c r="I9" s="52">
        <v>0</v>
      </c>
      <c r="J9" s="60"/>
      <c r="K9" s="61" t="s">
        <v>274</v>
      </c>
      <c r="L9" s="62" t="s">
        <v>275</v>
      </c>
      <c r="M9" s="62">
        <v>5</v>
      </c>
      <c r="N9" s="62">
        <v>40</v>
      </c>
      <c r="P9" s="58">
        <v>7</v>
      </c>
      <c r="Q9" s="59"/>
      <c r="R9" s="59"/>
      <c r="S9" s="40"/>
    </row>
    <row r="10" spans="1:19">
      <c r="A10" s="46" t="str">
        <f t="shared" si="0"/>
        <v>Sun</v>
      </c>
      <c r="B10" s="47">
        <v>46005</v>
      </c>
      <c r="C10" s="53">
        <v>24107</v>
      </c>
      <c r="D10" s="49" t="s">
        <v>277</v>
      </c>
      <c r="E10" s="50" t="s">
        <v>270</v>
      </c>
      <c r="F10" s="48">
        <v>10</v>
      </c>
      <c r="G10" s="51">
        <v>38</v>
      </c>
      <c r="H10" s="52">
        <v>8</v>
      </c>
      <c r="I10" s="52">
        <v>1</v>
      </c>
      <c r="J10" s="60"/>
      <c r="K10" s="61" t="s">
        <v>276</v>
      </c>
      <c r="L10" s="62" t="s">
        <v>94</v>
      </c>
      <c r="M10" s="62">
        <v>3</v>
      </c>
      <c r="N10" s="62">
        <v>41.5</v>
      </c>
      <c r="P10" s="58">
        <v>8</v>
      </c>
      <c r="Q10" s="59"/>
      <c r="R10" s="59"/>
      <c r="S10" s="40"/>
    </row>
    <row r="11" spans="1:19">
      <c r="A11" s="46" t="str">
        <f t="shared" si="0"/>
        <v>Sun</v>
      </c>
      <c r="B11" s="47">
        <v>46005</v>
      </c>
      <c r="C11" s="48">
        <v>43459</v>
      </c>
      <c r="D11" s="49" t="s">
        <v>278</v>
      </c>
      <c r="E11" s="50" t="s">
        <v>268</v>
      </c>
      <c r="F11" s="48">
        <v>8</v>
      </c>
      <c r="G11" s="51">
        <v>32</v>
      </c>
      <c r="H11" s="52">
        <v>8.5</v>
      </c>
      <c r="I11" s="52">
        <v>0.75</v>
      </c>
      <c r="J11" s="60"/>
      <c r="K11" s="61" t="s">
        <v>279</v>
      </c>
      <c r="L11" s="62" t="s">
        <v>270</v>
      </c>
      <c r="M11" s="62">
        <v>10</v>
      </c>
      <c r="N11" s="62">
        <v>38</v>
      </c>
      <c r="P11" s="58">
        <v>9</v>
      </c>
      <c r="Q11" s="59"/>
      <c r="R11" s="59"/>
      <c r="S11" s="63"/>
    </row>
    <row r="12" spans="1:19">
      <c r="A12" s="46" t="str">
        <f t="shared" si="0"/>
        <v>Sun</v>
      </c>
      <c r="B12" s="47">
        <v>46005</v>
      </c>
      <c r="C12" s="53">
        <v>33347</v>
      </c>
      <c r="D12" s="49" t="s">
        <v>277</v>
      </c>
      <c r="E12" s="50" t="s">
        <v>270</v>
      </c>
      <c r="F12" s="48">
        <v>9</v>
      </c>
      <c r="G12" s="51">
        <v>38</v>
      </c>
      <c r="H12" s="52">
        <v>8.5</v>
      </c>
      <c r="I12" s="52">
        <v>0.5</v>
      </c>
      <c r="J12" s="60"/>
      <c r="K12" s="61" t="s">
        <v>278</v>
      </c>
      <c r="L12" s="62" t="s">
        <v>268</v>
      </c>
      <c r="M12" s="62">
        <v>8</v>
      </c>
      <c r="N12" s="62">
        <v>32</v>
      </c>
      <c r="P12" s="58">
        <v>10</v>
      </c>
      <c r="Q12" s="59"/>
      <c r="R12" s="59"/>
      <c r="S12" s="63"/>
    </row>
    <row r="13" spans="1:19">
      <c r="A13" s="46" t="str">
        <f t="shared" si="0"/>
        <v>Sun</v>
      </c>
      <c r="B13" s="47">
        <v>46005</v>
      </c>
      <c r="C13" s="48">
        <v>32215</v>
      </c>
      <c r="D13" s="49" t="s">
        <v>280</v>
      </c>
      <c r="E13" s="50" t="s">
        <v>281</v>
      </c>
      <c r="F13" s="48">
        <v>7</v>
      </c>
      <c r="G13" s="51">
        <v>39.5</v>
      </c>
      <c r="H13" s="52">
        <v>9.75</v>
      </c>
      <c r="I13" s="52">
        <v>2.25</v>
      </c>
      <c r="J13" s="60"/>
      <c r="K13" s="61" t="s">
        <v>277</v>
      </c>
      <c r="L13" s="62" t="s">
        <v>270</v>
      </c>
      <c r="M13" s="62">
        <v>9</v>
      </c>
      <c r="N13" s="62">
        <v>38</v>
      </c>
      <c r="P13" s="58">
        <v>11</v>
      </c>
      <c r="Q13" s="59"/>
      <c r="R13" s="59"/>
      <c r="S13" s="63"/>
    </row>
    <row r="14" spans="1:19">
      <c r="A14" s="46" t="str">
        <f t="shared" si="0"/>
        <v>Sun</v>
      </c>
      <c r="B14" s="47">
        <v>46005</v>
      </c>
      <c r="C14" s="48">
        <v>16579</v>
      </c>
      <c r="D14" s="49" t="s">
        <v>282</v>
      </c>
      <c r="E14" s="50" t="s">
        <v>94</v>
      </c>
      <c r="F14" s="48">
        <v>4</v>
      </c>
      <c r="G14" s="51">
        <v>39</v>
      </c>
      <c r="H14" s="52">
        <v>5</v>
      </c>
      <c r="I14" s="52">
        <v>1</v>
      </c>
      <c r="J14" s="60"/>
      <c r="K14" s="61" t="s">
        <v>280</v>
      </c>
      <c r="L14" s="62" t="s">
        <v>281</v>
      </c>
      <c r="M14" s="62">
        <v>7</v>
      </c>
      <c r="N14" s="62">
        <v>39.5</v>
      </c>
      <c r="P14" s="58">
        <v>12</v>
      </c>
      <c r="Q14" s="59"/>
      <c r="R14" s="59"/>
      <c r="S14" s="40"/>
    </row>
    <row r="15" spans="1:19">
      <c r="A15" s="46" t="str">
        <f t="shared" si="0"/>
        <v>Sun</v>
      </c>
      <c r="B15" s="47">
        <v>46005</v>
      </c>
      <c r="C15" s="48">
        <v>29743</v>
      </c>
      <c r="D15" s="49" t="s">
        <v>283</v>
      </c>
      <c r="E15" s="50" t="s">
        <v>272</v>
      </c>
      <c r="F15" s="48">
        <v>9</v>
      </c>
      <c r="G15" s="51">
        <v>39</v>
      </c>
      <c r="H15" s="52">
        <v>6.5</v>
      </c>
      <c r="I15" s="52">
        <v>1</v>
      </c>
      <c r="J15" s="60"/>
      <c r="K15" s="61" t="s">
        <v>282</v>
      </c>
      <c r="L15" s="62" t="s">
        <v>94</v>
      </c>
      <c r="M15" s="62">
        <v>4</v>
      </c>
      <c r="N15" s="62">
        <v>39</v>
      </c>
      <c r="P15" s="58">
        <v>13</v>
      </c>
      <c r="Q15" s="59"/>
      <c r="R15" s="59"/>
      <c r="S15" s="40"/>
    </row>
    <row r="16" spans="1:19">
      <c r="A16" s="46" t="str">
        <f t="shared" si="0"/>
        <v>Sun</v>
      </c>
      <c r="B16" s="47">
        <v>46005</v>
      </c>
      <c r="C16" s="48">
        <v>34242</v>
      </c>
      <c r="D16" s="49" t="s">
        <v>284</v>
      </c>
      <c r="E16" s="50" t="s">
        <v>94</v>
      </c>
      <c r="F16" s="48">
        <v>5</v>
      </c>
      <c r="G16" s="51">
        <v>36</v>
      </c>
      <c r="H16" s="52">
        <v>6</v>
      </c>
      <c r="I16" s="52">
        <v>0.25</v>
      </c>
      <c r="J16" s="60"/>
      <c r="K16" s="61" t="s">
        <v>283</v>
      </c>
      <c r="L16" s="62" t="s">
        <v>272</v>
      </c>
      <c r="M16" s="62">
        <v>9</v>
      </c>
      <c r="N16" s="62">
        <v>39</v>
      </c>
      <c r="P16" s="58">
        <v>14</v>
      </c>
      <c r="Q16" s="59"/>
      <c r="R16" s="59"/>
      <c r="S16" s="40"/>
    </row>
    <row r="17" spans="1:19">
      <c r="A17" s="46" t="str">
        <f t="shared" si="0"/>
        <v>Sun</v>
      </c>
      <c r="B17" s="47">
        <v>46005</v>
      </c>
      <c r="C17" s="48">
        <v>42174</v>
      </c>
      <c r="D17" s="49" t="s">
        <v>285</v>
      </c>
      <c r="E17" s="50" t="s">
        <v>268</v>
      </c>
      <c r="F17" s="48">
        <v>8</v>
      </c>
      <c r="G17" s="51">
        <v>40</v>
      </c>
      <c r="H17" s="52">
        <v>8</v>
      </c>
      <c r="I17" s="52">
        <v>0</v>
      </c>
      <c r="J17" s="60"/>
      <c r="K17" s="61" t="s">
        <v>284</v>
      </c>
      <c r="L17" s="62" t="s">
        <v>94</v>
      </c>
      <c r="M17" s="62">
        <v>5</v>
      </c>
      <c r="N17" s="62">
        <v>36</v>
      </c>
      <c r="P17" s="58">
        <v>15</v>
      </c>
      <c r="Q17" s="59"/>
      <c r="R17" s="59"/>
      <c r="S17" s="40"/>
    </row>
    <row r="18" spans="1:19">
      <c r="A18" s="46" t="str">
        <f t="shared" si="0"/>
        <v>Sun</v>
      </c>
      <c r="B18" s="47">
        <v>46005</v>
      </c>
      <c r="C18" s="48">
        <v>32183</v>
      </c>
      <c r="D18" s="49" t="s">
        <v>286</v>
      </c>
      <c r="E18" s="50" t="s">
        <v>94</v>
      </c>
      <c r="F18" s="48">
        <v>5</v>
      </c>
      <c r="G18" s="51">
        <v>34.75</v>
      </c>
      <c r="H18" s="52">
        <v>8</v>
      </c>
      <c r="I18" s="52">
        <v>0.75</v>
      </c>
      <c r="J18" s="60"/>
      <c r="K18" s="61" t="s">
        <v>285</v>
      </c>
      <c r="L18" s="62" t="s">
        <v>268</v>
      </c>
      <c r="M18" s="62">
        <v>8</v>
      </c>
      <c r="N18" s="62">
        <v>40</v>
      </c>
      <c r="P18" s="58">
        <v>16</v>
      </c>
      <c r="Q18" s="59"/>
      <c r="R18" s="59"/>
      <c r="S18" s="40"/>
    </row>
    <row r="19" spans="1:19">
      <c r="A19" s="46" t="str">
        <f t="shared" si="0"/>
        <v>Mon</v>
      </c>
      <c r="B19" s="47">
        <v>46006</v>
      </c>
      <c r="C19" s="48">
        <v>20186</v>
      </c>
      <c r="D19" s="49" t="s">
        <v>267</v>
      </c>
      <c r="E19" s="50" t="s">
        <v>268</v>
      </c>
      <c r="F19" s="48">
        <v>8</v>
      </c>
      <c r="G19" s="51">
        <v>35</v>
      </c>
      <c r="H19" s="52">
        <v>6</v>
      </c>
      <c r="I19" s="52">
        <v>0</v>
      </c>
      <c r="J19" s="60"/>
      <c r="K19" s="61" t="s">
        <v>286</v>
      </c>
      <c r="L19" s="62" t="s">
        <v>94</v>
      </c>
      <c r="M19" s="62">
        <v>5</v>
      </c>
      <c r="N19" s="62">
        <v>34.75</v>
      </c>
      <c r="P19" s="58">
        <v>17</v>
      </c>
      <c r="Q19" s="59"/>
      <c r="R19" s="59"/>
      <c r="S19" s="63"/>
    </row>
    <row r="20" spans="1:19">
      <c r="A20" s="46" t="str">
        <f t="shared" si="0"/>
        <v>Mon</v>
      </c>
      <c r="B20" s="47">
        <v>46006</v>
      </c>
      <c r="C20" s="48">
        <v>33626</v>
      </c>
      <c r="D20" s="49" t="s">
        <v>266</v>
      </c>
      <c r="E20" s="50" t="s">
        <v>94</v>
      </c>
      <c r="F20" s="48">
        <v>5</v>
      </c>
      <c r="G20" s="51">
        <v>35</v>
      </c>
      <c r="H20" s="52">
        <v>6.5</v>
      </c>
      <c r="I20" s="52">
        <v>2</v>
      </c>
      <c r="J20" s="60"/>
      <c r="P20" s="58">
        <v>18</v>
      </c>
      <c r="Q20" s="59"/>
      <c r="R20" s="59"/>
      <c r="S20" s="63"/>
    </row>
    <row r="21" spans="1:19">
      <c r="A21" s="46" t="str">
        <f t="shared" si="0"/>
        <v>Mon</v>
      </c>
      <c r="B21" s="47">
        <v>46006</v>
      </c>
      <c r="C21" s="53">
        <v>18711</v>
      </c>
      <c r="D21" s="49" t="s">
        <v>269</v>
      </c>
      <c r="E21" s="50" t="s">
        <v>270</v>
      </c>
      <c r="F21" s="48">
        <v>9</v>
      </c>
      <c r="G21" s="51">
        <v>36.5</v>
      </c>
      <c r="H21" s="52">
        <v>7.416666666666667</v>
      </c>
      <c r="I21" s="52">
        <v>0</v>
      </c>
      <c r="J21" s="60"/>
      <c r="K21" s="64"/>
      <c r="L21" s="65"/>
      <c r="P21" s="58">
        <v>19</v>
      </c>
      <c r="Q21" s="59"/>
      <c r="R21" s="59"/>
      <c r="S21" s="40"/>
    </row>
    <row r="22" spans="1:19">
      <c r="A22" s="46" t="str">
        <f t="shared" si="0"/>
        <v>Mon</v>
      </c>
      <c r="B22" s="47">
        <v>46006</v>
      </c>
      <c r="C22" s="53">
        <v>18804</v>
      </c>
      <c r="D22" s="49" t="s">
        <v>271</v>
      </c>
      <c r="E22" s="50" t="s">
        <v>272</v>
      </c>
      <c r="F22" s="48">
        <v>10</v>
      </c>
      <c r="G22" s="51">
        <v>40</v>
      </c>
      <c r="H22" s="52">
        <v>6.75</v>
      </c>
      <c r="I22" s="52">
        <v>0</v>
      </c>
      <c r="J22" s="60"/>
      <c r="L22" s="65"/>
      <c r="P22" s="66">
        <v>20</v>
      </c>
      <c r="Q22" s="67"/>
      <c r="R22" s="67"/>
      <c r="S22" s="40"/>
    </row>
    <row r="23" spans="1:19">
      <c r="A23" s="46" t="str">
        <f t="shared" si="0"/>
        <v>Mon</v>
      </c>
      <c r="B23" s="47">
        <v>46006</v>
      </c>
      <c r="C23" s="48">
        <v>43459</v>
      </c>
      <c r="D23" s="49" t="s">
        <v>273</v>
      </c>
      <c r="E23" s="50" t="s">
        <v>247</v>
      </c>
      <c r="F23" s="48">
        <v>5</v>
      </c>
      <c r="G23" s="51">
        <v>35</v>
      </c>
      <c r="H23" s="52">
        <v>7.5000000000000018</v>
      </c>
      <c r="I23" s="52">
        <v>0</v>
      </c>
      <c r="J23" s="60"/>
    </row>
    <row r="24" spans="1:19">
      <c r="A24" s="46" t="str">
        <f t="shared" si="0"/>
        <v>Mon</v>
      </c>
      <c r="B24" s="47">
        <v>46006</v>
      </c>
      <c r="C24" s="48">
        <v>18799</v>
      </c>
      <c r="D24" s="49" t="s">
        <v>274</v>
      </c>
      <c r="E24" s="50" t="s">
        <v>275</v>
      </c>
      <c r="F24" s="48">
        <v>5</v>
      </c>
      <c r="G24" s="51">
        <v>40</v>
      </c>
      <c r="H24" s="52">
        <v>8</v>
      </c>
      <c r="I24" s="52">
        <v>0.25</v>
      </c>
      <c r="J24" s="60"/>
    </row>
    <row r="25" spans="1:19">
      <c r="A25" s="46" t="str">
        <f t="shared" si="0"/>
        <v>Mon</v>
      </c>
      <c r="B25" s="47">
        <v>46006</v>
      </c>
      <c r="C25" s="48">
        <v>18789</v>
      </c>
      <c r="D25" s="49" t="s">
        <v>276</v>
      </c>
      <c r="E25" s="50" t="s">
        <v>94</v>
      </c>
      <c r="F25" s="48">
        <v>3</v>
      </c>
      <c r="G25" s="51">
        <v>41.5</v>
      </c>
      <c r="H25" s="52">
        <v>7.2500000000000009</v>
      </c>
      <c r="I25" s="52">
        <v>0</v>
      </c>
      <c r="J25" s="60"/>
    </row>
    <row r="26" spans="1:19">
      <c r="A26" s="46" t="str">
        <f t="shared" si="0"/>
        <v>Mon</v>
      </c>
      <c r="B26" s="47">
        <v>46006</v>
      </c>
      <c r="C26" s="53">
        <v>24107</v>
      </c>
      <c r="D26" s="49" t="s">
        <v>279</v>
      </c>
      <c r="E26" s="50" t="s">
        <v>270</v>
      </c>
      <c r="F26" s="48">
        <v>10</v>
      </c>
      <c r="G26" s="51">
        <v>38</v>
      </c>
      <c r="H26" s="52">
        <v>7.5</v>
      </c>
      <c r="I26" s="52">
        <v>0</v>
      </c>
      <c r="J26" s="60"/>
      <c r="K26" s="64"/>
    </row>
    <row r="27" spans="1:19">
      <c r="A27" s="46" t="str">
        <f t="shared" si="0"/>
        <v>Mon</v>
      </c>
      <c r="B27" s="47">
        <v>46006</v>
      </c>
      <c r="C27" s="53">
        <v>33347</v>
      </c>
      <c r="D27" s="49" t="s">
        <v>277</v>
      </c>
      <c r="E27" s="50" t="s">
        <v>270</v>
      </c>
      <c r="F27" s="48">
        <v>9</v>
      </c>
      <c r="G27" s="51">
        <v>38</v>
      </c>
      <c r="H27" s="52">
        <v>8</v>
      </c>
      <c r="I27" s="52">
        <v>0.5</v>
      </c>
      <c r="J27" s="60"/>
      <c r="P27" s="59"/>
      <c r="Q27" s="59"/>
      <c r="R27" s="59"/>
    </row>
    <row r="28" spans="1:19">
      <c r="A28" s="46" t="str">
        <f t="shared" si="0"/>
        <v>Mon</v>
      </c>
      <c r="B28" s="47">
        <v>46006</v>
      </c>
      <c r="C28" s="48">
        <v>18781</v>
      </c>
      <c r="D28" s="49" t="s">
        <v>280</v>
      </c>
      <c r="E28" s="50" t="s">
        <v>281</v>
      </c>
      <c r="F28" s="48">
        <v>7</v>
      </c>
      <c r="G28" s="51">
        <v>39.5</v>
      </c>
      <c r="H28" s="52">
        <v>7.5</v>
      </c>
      <c r="I28" s="52">
        <v>0</v>
      </c>
      <c r="J28" s="60"/>
    </row>
    <row r="29" spans="1:19">
      <c r="A29" s="46" t="str">
        <f t="shared" si="0"/>
        <v>Mon</v>
      </c>
      <c r="B29" s="47">
        <v>46006</v>
      </c>
      <c r="C29" s="48">
        <v>32502</v>
      </c>
      <c r="D29" s="49" t="s">
        <v>282</v>
      </c>
      <c r="E29" s="50" t="s">
        <v>94</v>
      </c>
      <c r="F29" s="48">
        <v>4</v>
      </c>
      <c r="G29" s="51">
        <v>39</v>
      </c>
      <c r="H29" s="52">
        <v>7.5</v>
      </c>
      <c r="I29" s="52">
        <v>0</v>
      </c>
      <c r="J29" s="60"/>
      <c r="K29" s="64"/>
    </row>
    <row r="30" spans="1:19">
      <c r="A30" s="46" t="str">
        <f t="shared" si="0"/>
        <v>Mon</v>
      </c>
      <c r="B30" s="47">
        <v>46006</v>
      </c>
      <c r="C30" s="48">
        <v>18768</v>
      </c>
      <c r="D30" s="49" t="s">
        <v>283</v>
      </c>
      <c r="E30" s="50" t="s">
        <v>272</v>
      </c>
      <c r="F30" s="48">
        <v>9</v>
      </c>
      <c r="G30" s="51">
        <v>39</v>
      </c>
      <c r="H30" s="52">
        <v>6.5</v>
      </c>
      <c r="I30" s="52">
        <v>0</v>
      </c>
      <c r="J30" s="60"/>
    </row>
    <row r="31" spans="1:19">
      <c r="A31" s="46" t="str">
        <f t="shared" si="0"/>
        <v>Mon</v>
      </c>
      <c r="B31" s="47">
        <v>46006</v>
      </c>
      <c r="C31" s="48">
        <v>16579</v>
      </c>
      <c r="D31" s="49" t="s">
        <v>284</v>
      </c>
      <c r="E31" s="50" t="s">
        <v>94</v>
      </c>
      <c r="F31" s="48">
        <v>5</v>
      </c>
      <c r="G31" s="51">
        <v>36</v>
      </c>
      <c r="H31" s="52">
        <v>6</v>
      </c>
      <c r="I31" s="52">
        <v>0.25</v>
      </c>
      <c r="J31" s="60"/>
    </row>
    <row r="32" spans="1:19">
      <c r="A32" s="46" t="str">
        <f t="shared" si="0"/>
        <v>Mon</v>
      </c>
      <c r="B32" s="47">
        <v>46006</v>
      </c>
      <c r="C32" s="48">
        <v>18797</v>
      </c>
      <c r="D32" s="49" t="s">
        <v>286</v>
      </c>
      <c r="E32" s="50" t="s">
        <v>94</v>
      </c>
      <c r="F32" s="48">
        <v>5</v>
      </c>
      <c r="G32" s="51">
        <v>34.75</v>
      </c>
      <c r="H32" s="52">
        <v>7</v>
      </c>
      <c r="I32" s="52">
        <v>0</v>
      </c>
      <c r="J32" s="60"/>
    </row>
    <row r="33" spans="1:26">
      <c r="A33" s="46" t="str">
        <f t="shared" si="0"/>
        <v>Tue</v>
      </c>
      <c r="B33" s="47">
        <v>46007</v>
      </c>
      <c r="C33" s="48">
        <v>34183</v>
      </c>
      <c r="D33" s="49" t="s">
        <v>267</v>
      </c>
      <c r="E33" s="50" t="s">
        <v>268</v>
      </c>
      <c r="F33" s="48">
        <v>8</v>
      </c>
      <c r="G33" s="51">
        <v>35</v>
      </c>
      <c r="H33" s="52">
        <v>10.5</v>
      </c>
      <c r="I33" s="52">
        <v>3.5</v>
      </c>
      <c r="J33" s="60"/>
    </row>
    <row r="34" spans="1:26">
      <c r="A34" s="46" t="str">
        <f t="shared" si="0"/>
        <v>Tue</v>
      </c>
      <c r="B34" s="47">
        <v>46007</v>
      </c>
      <c r="C34" s="48">
        <v>18784</v>
      </c>
      <c r="D34" s="49" t="s">
        <v>266</v>
      </c>
      <c r="E34" s="50" t="s">
        <v>94</v>
      </c>
      <c r="F34" s="48">
        <v>5</v>
      </c>
      <c r="G34" s="51">
        <v>35</v>
      </c>
      <c r="H34" s="52">
        <v>7.4999999999999982</v>
      </c>
      <c r="I34" s="52">
        <v>0</v>
      </c>
      <c r="J34" s="60"/>
    </row>
    <row r="35" spans="1:26">
      <c r="A35" s="46" t="str">
        <f t="shared" si="0"/>
        <v>Tue</v>
      </c>
      <c r="B35" s="47">
        <v>46007</v>
      </c>
      <c r="C35" s="53">
        <v>18711</v>
      </c>
      <c r="D35" s="49" t="s">
        <v>269</v>
      </c>
      <c r="E35" s="50" t="s">
        <v>270</v>
      </c>
      <c r="F35" s="48">
        <v>9</v>
      </c>
      <c r="G35" s="51">
        <v>36.5</v>
      </c>
      <c r="H35" s="52">
        <v>7.3333333333333339</v>
      </c>
      <c r="I35" s="52">
        <v>0</v>
      </c>
      <c r="J35" s="60"/>
      <c r="K35" s="64"/>
    </row>
    <row r="36" spans="1:26">
      <c r="A36" s="46" t="str">
        <f t="shared" si="0"/>
        <v>Tue</v>
      </c>
      <c r="B36" s="47">
        <v>46007</v>
      </c>
      <c r="C36" s="48">
        <v>18804</v>
      </c>
      <c r="D36" s="49" t="s">
        <v>271</v>
      </c>
      <c r="E36" s="50" t="s">
        <v>272</v>
      </c>
      <c r="F36" s="48">
        <v>10</v>
      </c>
      <c r="G36" s="51">
        <v>40</v>
      </c>
      <c r="H36" s="52">
        <v>7.1666666666666652</v>
      </c>
      <c r="I36" s="52">
        <v>0</v>
      </c>
      <c r="J36" s="60"/>
    </row>
    <row r="37" spans="1:26">
      <c r="A37" s="46" t="str">
        <f t="shared" si="0"/>
        <v>Tue</v>
      </c>
      <c r="B37" s="47">
        <v>46007</v>
      </c>
      <c r="C37" s="48">
        <v>32183</v>
      </c>
      <c r="D37" s="49" t="s">
        <v>273</v>
      </c>
      <c r="E37" s="50" t="s">
        <v>247</v>
      </c>
      <c r="F37" s="48">
        <v>5</v>
      </c>
      <c r="G37" s="51">
        <v>35</v>
      </c>
      <c r="H37" s="52">
        <v>6.9999999999999991</v>
      </c>
      <c r="I37" s="52">
        <v>0.5</v>
      </c>
      <c r="J37" s="60"/>
    </row>
    <row r="38" spans="1:26">
      <c r="A38" s="46" t="str">
        <f t="shared" si="0"/>
        <v>Tue</v>
      </c>
      <c r="B38" s="47">
        <v>46007</v>
      </c>
      <c r="C38" s="48">
        <v>18809</v>
      </c>
      <c r="D38" s="49" t="s">
        <v>274</v>
      </c>
      <c r="E38" s="50" t="s">
        <v>275</v>
      </c>
      <c r="F38" s="48">
        <v>5</v>
      </c>
      <c r="G38" s="51">
        <v>40</v>
      </c>
      <c r="H38" s="52">
        <v>8</v>
      </c>
      <c r="I38" s="52">
        <v>0.75</v>
      </c>
      <c r="J38" s="60"/>
    </row>
    <row r="39" spans="1:26">
      <c r="A39" s="46" t="str">
        <f t="shared" si="0"/>
        <v>Tue</v>
      </c>
      <c r="B39" s="47">
        <v>46007</v>
      </c>
      <c r="C39" s="48">
        <v>32383</v>
      </c>
      <c r="D39" s="49" t="s">
        <v>276</v>
      </c>
      <c r="E39" s="50" t="s">
        <v>94</v>
      </c>
      <c r="F39" s="48">
        <v>3</v>
      </c>
      <c r="G39" s="51">
        <v>41.5</v>
      </c>
      <c r="H39" s="52">
        <v>5.5833333333333339</v>
      </c>
      <c r="I39" s="52">
        <v>0</v>
      </c>
      <c r="J39" s="60"/>
    </row>
    <row r="40" spans="1:26">
      <c r="A40" s="46" t="str">
        <f t="shared" si="0"/>
        <v>Tue</v>
      </c>
      <c r="B40" s="47">
        <v>46007</v>
      </c>
      <c r="C40" s="53">
        <v>24107</v>
      </c>
      <c r="D40" s="49" t="s">
        <v>279</v>
      </c>
      <c r="E40" s="50" t="s">
        <v>270</v>
      </c>
      <c r="F40" s="48">
        <v>10</v>
      </c>
      <c r="G40" s="51">
        <v>38</v>
      </c>
      <c r="H40" s="52">
        <v>7.5</v>
      </c>
      <c r="I40" s="52">
        <v>0</v>
      </c>
      <c r="J40" s="60"/>
      <c r="K40" s="64"/>
    </row>
    <row r="41" spans="1:26">
      <c r="A41" s="46" t="str">
        <f t="shared" si="0"/>
        <v>Tue</v>
      </c>
      <c r="B41" s="47">
        <v>46007</v>
      </c>
      <c r="C41" s="48">
        <v>33070</v>
      </c>
      <c r="D41" s="49" t="s">
        <v>278</v>
      </c>
      <c r="E41" s="50" t="s">
        <v>268</v>
      </c>
      <c r="F41" s="48">
        <v>8</v>
      </c>
      <c r="G41" s="51">
        <v>32</v>
      </c>
      <c r="H41" s="52">
        <v>4.5</v>
      </c>
      <c r="I41" s="52">
        <v>0</v>
      </c>
      <c r="J41" s="60"/>
    </row>
    <row r="42" spans="1:26">
      <c r="A42" s="46" t="str">
        <f t="shared" si="0"/>
        <v>Tue</v>
      </c>
      <c r="B42" s="47">
        <v>46007</v>
      </c>
      <c r="C42" s="53">
        <v>33347</v>
      </c>
      <c r="D42" s="49" t="s">
        <v>277</v>
      </c>
      <c r="E42" s="50" t="s">
        <v>270</v>
      </c>
      <c r="F42" s="48">
        <v>9</v>
      </c>
      <c r="G42" s="51">
        <v>38</v>
      </c>
      <c r="H42" s="52">
        <v>7.5</v>
      </c>
      <c r="I42" s="52">
        <v>0</v>
      </c>
      <c r="J42" s="60"/>
    </row>
    <row r="43" spans="1:26">
      <c r="A43" s="46" t="str">
        <f t="shared" si="0"/>
        <v>Tue</v>
      </c>
      <c r="B43" s="47">
        <v>46007</v>
      </c>
      <c r="C43" s="48">
        <v>32502</v>
      </c>
      <c r="D43" s="49" t="s">
        <v>284</v>
      </c>
      <c r="E43" s="50" t="s">
        <v>94</v>
      </c>
      <c r="F43" s="48">
        <v>5</v>
      </c>
      <c r="G43" s="51">
        <v>36</v>
      </c>
      <c r="H43" s="52">
        <v>6</v>
      </c>
      <c r="I43" s="52">
        <v>0.25</v>
      </c>
      <c r="J43" s="60"/>
    </row>
    <row r="44" spans="1:26">
      <c r="A44" s="46" t="str">
        <f t="shared" si="0"/>
        <v>Tue</v>
      </c>
      <c r="B44" s="47">
        <v>46007</v>
      </c>
      <c r="C44" s="48">
        <v>18792</v>
      </c>
      <c r="D44" s="49" t="s">
        <v>285</v>
      </c>
      <c r="E44" s="50" t="s">
        <v>268</v>
      </c>
      <c r="F44" s="48">
        <v>8</v>
      </c>
      <c r="G44" s="51">
        <v>40</v>
      </c>
      <c r="H44" s="52">
        <v>8</v>
      </c>
      <c r="I44" s="52">
        <v>0</v>
      </c>
      <c r="J44" s="60"/>
    </row>
    <row r="45" spans="1:26">
      <c r="A45" s="46" t="str">
        <f t="shared" si="0"/>
        <v>Tue</v>
      </c>
      <c r="B45" s="47">
        <v>46007</v>
      </c>
      <c r="C45" s="48">
        <v>29743</v>
      </c>
      <c r="D45" s="49" t="s">
        <v>286</v>
      </c>
      <c r="E45" s="50" t="s">
        <v>94</v>
      </c>
      <c r="F45" s="48">
        <v>5</v>
      </c>
      <c r="G45" s="51">
        <v>34.75</v>
      </c>
      <c r="H45" s="52">
        <v>7.25</v>
      </c>
      <c r="I45" s="52">
        <v>0.5</v>
      </c>
      <c r="J45" s="60"/>
      <c r="K45" s="64"/>
      <c r="Z45" s="68"/>
    </row>
    <row r="46" spans="1:26">
      <c r="A46" s="46" t="str">
        <f t="shared" si="0"/>
        <v>Wed</v>
      </c>
      <c r="B46" s="47">
        <v>46008</v>
      </c>
      <c r="C46" s="48">
        <v>18784</v>
      </c>
      <c r="D46" s="49" t="s">
        <v>267</v>
      </c>
      <c r="E46" s="50" t="s">
        <v>268</v>
      </c>
      <c r="F46" s="48">
        <v>8</v>
      </c>
      <c r="G46" s="51">
        <v>35</v>
      </c>
      <c r="H46" s="52">
        <v>7.4999999999999982</v>
      </c>
      <c r="I46" s="52">
        <v>1.5</v>
      </c>
      <c r="J46" s="60"/>
      <c r="Z46" s="69"/>
    </row>
    <row r="47" spans="1:26">
      <c r="A47" s="46" t="str">
        <f t="shared" si="0"/>
        <v>Wed</v>
      </c>
      <c r="B47" s="47">
        <v>46008</v>
      </c>
      <c r="C47" s="48">
        <v>33558</v>
      </c>
      <c r="D47" s="49" t="s">
        <v>266</v>
      </c>
      <c r="E47" s="50" t="s">
        <v>94</v>
      </c>
      <c r="F47" s="48">
        <v>5</v>
      </c>
      <c r="G47" s="51">
        <v>35</v>
      </c>
      <c r="H47" s="52">
        <v>5.9999999999999982</v>
      </c>
      <c r="I47" s="52">
        <v>0</v>
      </c>
      <c r="J47" s="60"/>
      <c r="Z47" s="69"/>
    </row>
    <row r="48" spans="1:26">
      <c r="A48" s="46" t="str">
        <f t="shared" si="0"/>
        <v>Wed</v>
      </c>
      <c r="B48" s="47">
        <v>46008</v>
      </c>
      <c r="C48" s="48">
        <v>18711</v>
      </c>
      <c r="D48" s="49" t="s">
        <v>269</v>
      </c>
      <c r="E48" s="50" t="s">
        <v>270</v>
      </c>
      <c r="F48" s="48">
        <v>9</v>
      </c>
      <c r="G48" s="51">
        <v>36.5</v>
      </c>
      <c r="H48" s="52">
        <v>7.0833333333333348</v>
      </c>
      <c r="I48" s="52">
        <v>0.5</v>
      </c>
      <c r="J48" s="60"/>
      <c r="Z48" s="69"/>
    </row>
    <row r="49" spans="1:26">
      <c r="A49" s="46" t="str">
        <f t="shared" si="0"/>
        <v>Wed</v>
      </c>
      <c r="B49" s="47">
        <v>46008</v>
      </c>
      <c r="C49" s="48">
        <v>18804</v>
      </c>
      <c r="D49" s="49" t="s">
        <v>271</v>
      </c>
      <c r="E49" s="50" t="s">
        <v>272</v>
      </c>
      <c r="F49" s="48">
        <v>10</v>
      </c>
      <c r="G49" s="51">
        <v>40</v>
      </c>
      <c r="H49" s="52">
        <v>6.75</v>
      </c>
      <c r="I49" s="52">
        <v>0</v>
      </c>
      <c r="J49" s="60"/>
      <c r="K49" s="64"/>
      <c r="Z49" s="69"/>
    </row>
    <row r="50" spans="1:26">
      <c r="A50" s="46" t="str">
        <f t="shared" si="0"/>
        <v>Wed</v>
      </c>
      <c r="B50" s="47">
        <v>46008</v>
      </c>
      <c r="C50" s="48">
        <v>42118</v>
      </c>
      <c r="D50" s="49" t="s">
        <v>276</v>
      </c>
      <c r="E50" s="50" t="s">
        <v>94</v>
      </c>
      <c r="F50" s="48">
        <v>3</v>
      </c>
      <c r="G50" s="51">
        <v>41.5</v>
      </c>
      <c r="H50" s="52">
        <v>5.9166666666666661</v>
      </c>
      <c r="I50" s="52">
        <v>0</v>
      </c>
      <c r="J50" s="60"/>
      <c r="Z50" s="69"/>
    </row>
    <row r="51" spans="1:26">
      <c r="A51" s="46" t="str">
        <f t="shared" si="0"/>
        <v>Wed</v>
      </c>
      <c r="B51" s="47">
        <v>46008</v>
      </c>
      <c r="C51" s="48">
        <v>18763</v>
      </c>
      <c r="D51" s="49" t="s">
        <v>279</v>
      </c>
      <c r="E51" s="50" t="s">
        <v>270</v>
      </c>
      <c r="F51" s="48">
        <v>10</v>
      </c>
      <c r="G51" s="51">
        <v>38</v>
      </c>
      <c r="H51" s="52">
        <v>7.5</v>
      </c>
      <c r="I51" s="52">
        <v>0</v>
      </c>
      <c r="J51" s="60"/>
      <c r="Z51" s="69"/>
    </row>
    <row r="52" spans="1:26">
      <c r="A52" s="46" t="str">
        <f t="shared" si="0"/>
        <v>Wed</v>
      </c>
      <c r="B52" s="47">
        <v>46008</v>
      </c>
      <c r="C52" s="48">
        <v>29743</v>
      </c>
      <c r="D52" s="49" t="s">
        <v>278</v>
      </c>
      <c r="E52" s="50" t="s">
        <v>268</v>
      </c>
      <c r="F52" s="48">
        <v>8</v>
      </c>
      <c r="G52" s="51">
        <v>32</v>
      </c>
      <c r="H52" s="52">
        <v>7</v>
      </c>
      <c r="I52" s="52">
        <v>1.75</v>
      </c>
      <c r="J52" s="60"/>
      <c r="Z52" s="69"/>
    </row>
    <row r="53" spans="1:26">
      <c r="A53" s="46" t="str">
        <f t="shared" si="0"/>
        <v>Wed</v>
      </c>
      <c r="B53" s="47">
        <v>46008</v>
      </c>
      <c r="C53" s="48">
        <v>33347</v>
      </c>
      <c r="D53" s="49" t="s">
        <v>277</v>
      </c>
      <c r="E53" s="50" t="s">
        <v>270</v>
      </c>
      <c r="F53" s="48">
        <v>9</v>
      </c>
      <c r="G53" s="51">
        <v>38</v>
      </c>
      <c r="H53" s="52">
        <v>7.5</v>
      </c>
      <c r="I53" s="52">
        <v>0</v>
      </c>
      <c r="J53" s="60"/>
      <c r="Z53" s="69"/>
    </row>
    <row r="54" spans="1:26">
      <c r="A54" s="46" t="str">
        <f t="shared" si="0"/>
        <v>Wed</v>
      </c>
      <c r="B54" s="47">
        <v>46008</v>
      </c>
      <c r="C54" s="48">
        <v>33365</v>
      </c>
      <c r="D54" s="49" t="s">
        <v>282</v>
      </c>
      <c r="E54" s="50" t="s">
        <v>94</v>
      </c>
      <c r="F54" s="48">
        <v>4</v>
      </c>
      <c r="G54" s="51">
        <v>39</v>
      </c>
      <c r="H54" s="52">
        <v>7.5</v>
      </c>
      <c r="I54" s="52">
        <v>0</v>
      </c>
      <c r="J54" s="60"/>
      <c r="Z54" s="69"/>
    </row>
    <row r="55" spans="1:26">
      <c r="A55" s="46" t="str">
        <f t="shared" si="0"/>
        <v>Wed</v>
      </c>
      <c r="B55" s="47">
        <v>46008</v>
      </c>
      <c r="C55" s="48">
        <v>18811</v>
      </c>
      <c r="D55" s="49" t="s">
        <v>283</v>
      </c>
      <c r="E55" s="50" t="s">
        <v>272</v>
      </c>
      <c r="F55" s="48">
        <v>9</v>
      </c>
      <c r="G55" s="51">
        <v>39</v>
      </c>
      <c r="H55" s="52">
        <v>6.5</v>
      </c>
      <c r="I55" s="52">
        <v>0</v>
      </c>
      <c r="J55" s="60"/>
      <c r="Z55" s="69"/>
    </row>
    <row r="56" spans="1:26">
      <c r="A56" s="46" t="str">
        <f t="shared" si="0"/>
        <v>Wed</v>
      </c>
      <c r="B56" s="47">
        <v>46008</v>
      </c>
      <c r="C56" s="48">
        <v>33957</v>
      </c>
      <c r="D56" s="49" t="s">
        <v>284</v>
      </c>
      <c r="E56" s="50" t="s">
        <v>94</v>
      </c>
      <c r="F56" s="48">
        <v>5</v>
      </c>
      <c r="G56" s="51">
        <v>36</v>
      </c>
      <c r="H56" s="52">
        <v>6</v>
      </c>
      <c r="I56" s="52">
        <v>0</v>
      </c>
      <c r="J56" s="60"/>
      <c r="K56" s="65"/>
      <c r="Z56" s="69"/>
    </row>
    <row r="57" spans="1:26">
      <c r="A57" s="46" t="str">
        <f t="shared" si="0"/>
        <v>Wed</v>
      </c>
      <c r="B57" s="47">
        <v>46008</v>
      </c>
      <c r="C57" s="48">
        <v>18820</v>
      </c>
      <c r="D57" s="49" t="s">
        <v>285</v>
      </c>
      <c r="E57" s="50" t="s">
        <v>268</v>
      </c>
      <c r="F57" s="48">
        <v>8</v>
      </c>
      <c r="G57" s="51">
        <v>40</v>
      </c>
      <c r="H57" s="52">
        <v>4</v>
      </c>
      <c r="I57" s="52">
        <v>3</v>
      </c>
      <c r="J57" s="60"/>
      <c r="K57" s="64"/>
      <c r="Z57" s="69"/>
    </row>
    <row r="58" spans="1:26">
      <c r="A58" s="46" t="str">
        <f t="shared" si="0"/>
        <v>Thu</v>
      </c>
      <c r="B58" s="47">
        <v>46009</v>
      </c>
      <c r="C58" s="48">
        <v>33620</v>
      </c>
      <c r="D58" s="49" t="s">
        <v>267</v>
      </c>
      <c r="E58" s="50" t="s">
        <v>268</v>
      </c>
      <c r="F58" s="48">
        <v>8</v>
      </c>
      <c r="G58" s="51">
        <v>35</v>
      </c>
      <c r="H58" s="52">
        <v>7</v>
      </c>
      <c r="I58" s="52">
        <v>0</v>
      </c>
      <c r="J58" s="60"/>
      <c r="Z58" s="69"/>
    </row>
    <row r="59" spans="1:26">
      <c r="A59" s="46" t="str">
        <f t="shared" si="0"/>
        <v>Thu</v>
      </c>
      <c r="B59" s="47">
        <v>46009</v>
      </c>
      <c r="C59" s="48">
        <v>44372</v>
      </c>
      <c r="D59" s="49" t="s">
        <v>266</v>
      </c>
      <c r="E59" s="50" t="s">
        <v>94</v>
      </c>
      <c r="F59" s="48">
        <v>5</v>
      </c>
      <c r="G59" s="51">
        <v>35</v>
      </c>
      <c r="H59" s="52">
        <v>7.5000000000000018</v>
      </c>
      <c r="I59" s="52">
        <v>0</v>
      </c>
      <c r="J59" s="60"/>
      <c r="Z59" s="69"/>
    </row>
    <row r="60" spans="1:26">
      <c r="A60" s="46" t="str">
        <f t="shared" si="0"/>
        <v>Thu</v>
      </c>
      <c r="B60" s="47">
        <v>46009</v>
      </c>
      <c r="C60" s="48">
        <v>30566</v>
      </c>
      <c r="D60" s="49" t="s">
        <v>269</v>
      </c>
      <c r="E60" s="50" t="s">
        <v>270</v>
      </c>
      <c r="F60" s="48">
        <v>9</v>
      </c>
      <c r="G60" s="51">
        <v>36.5</v>
      </c>
      <c r="H60" s="52">
        <v>6.666666666666667</v>
      </c>
      <c r="I60" s="52">
        <v>0</v>
      </c>
      <c r="J60" s="60"/>
      <c r="Z60" s="69"/>
    </row>
    <row r="61" spans="1:26">
      <c r="A61" s="46" t="str">
        <f t="shared" si="0"/>
        <v>Thu</v>
      </c>
      <c r="B61" s="47">
        <v>46009</v>
      </c>
      <c r="C61" s="48">
        <v>34242</v>
      </c>
      <c r="D61" s="49" t="s">
        <v>271</v>
      </c>
      <c r="E61" s="50" t="s">
        <v>272</v>
      </c>
      <c r="F61" s="48">
        <v>10</v>
      </c>
      <c r="G61" s="51">
        <v>40</v>
      </c>
      <c r="H61" s="52">
        <v>5.8333333333333357</v>
      </c>
      <c r="I61" s="52">
        <v>1</v>
      </c>
      <c r="J61" s="60"/>
      <c r="Z61" s="69"/>
    </row>
    <row r="62" spans="1:26">
      <c r="A62" s="46" t="str">
        <f t="shared" si="0"/>
        <v>Thu</v>
      </c>
      <c r="B62" s="47">
        <v>46009</v>
      </c>
      <c r="C62" s="48">
        <v>16579</v>
      </c>
      <c r="D62" s="49" t="s">
        <v>276</v>
      </c>
      <c r="E62" s="50" t="s">
        <v>94</v>
      </c>
      <c r="F62" s="48">
        <v>3</v>
      </c>
      <c r="G62" s="51">
        <v>41.5</v>
      </c>
      <c r="H62" s="52">
        <v>7.4999999999999982</v>
      </c>
      <c r="I62" s="52">
        <v>0.75</v>
      </c>
      <c r="J62" s="60"/>
    </row>
    <row r="63" spans="1:26">
      <c r="A63" s="46" t="str">
        <f t="shared" si="0"/>
        <v>Thu</v>
      </c>
      <c r="B63" s="47">
        <v>46009</v>
      </c>
      <c r="C63" s="48">
        <v>23571</v>
      </c>
      <c r="D63" s="49" t="s">
        <v>279</v>
      </c>
      <c r="E63" s="50" t="s">
        <v>270</v>
      </c>
      <c r="F63" s="48">
        <v>10</v>
      </c>
      <c r="G63" s="51">
        <v>38</v>
      </c>
      <c r="H63" s="52">
        <v>7.5</v>
      </c>
      <c r="I63" s="52">
        <v>0</v>
      </c>
      <c r="J63" s="60"/>
    </row>
    <row r="64" spans="1:26">
      <c r="A64" s="46" t="str">
        <f t="shared" si="0"/>
        <v>Thu</v>
      </c>
      <c r="B64" s="47">
        <v>46009</v>
      </c>
      <c r="C64" s="48">
        <v>18768</v>
      </c>
      <c r="D64" s="49" t="s">
        <v>278</v>
      </c>
      <c r="E64" s="50" t="s">
        <v>268</v>
      </c>
      <c r="F64" s="48">
        <v>8</v>
      </c>
      <c r="G64" s="51">
        <v>32</v>
      </c>
      <c r="H64" s="52">
        <v>7</v>
      </c>
      <c r="I64" s="52">
        <v>0</v>
      </c>
      <c r="J64" s="60"/>
    </row>
    <row r="65" spans="1:10">
      <c r="A65" s="46" t="str">
        <f t="shared" si="0"/>
        <v>Thu</v>
      </c>
      <c r="B65" s="47">
        <v>46009</v>
      </c>
      <c r="C65" s="48">
        <v>16587</v>
      </c>
      <c r="D65" s="49" t="s">
        <v>277</v>
      </c>
      <c r="E65" s="50" t="s">
        <v>270</v>
      </c>
      <c r="F65" s="48">
        <v>9</v>
      </c>
      <c r="G65" s="51">
        <v>38</v>
      </c>
      <c r="H65" s="52">
        <v>7.5</v>
      </c>
      <c r="I65" s="52">
        <v>0</v>
      </c>
      <c r="J65" s="60"/>
    </row>
    <row r="66" spans="1:10">
      <c r="A66" s="46" t="str">
        <f t="shared" si="0"/>
        <v>Thu</v>
      </c>
      <c r="B66" s="47">
        <v>46009</v>
      </c>
      <c r="C66" s="48">
        <v>34144</v>
      </c>
      <c r="D66" s="49" t="s">
        <v>280</v>
      </c>
      <c r="E66" s="50" t="s">
        <v>281</v>
      </c>
      <c r="F66" s="48">
        <v>7</v>
      </c>
      <c r="G66" s="51">
        <v>39.5</v>
      </c>
      <c r="H66" s="52">
        <v>7.5</v>
      </c>
      <c r="I66" s="52">
        <v>3.5</v>
      </c>
      <c r="J66" s="60"/>
    </row>
    <row r="67" spans="1:10">
      <c r="A67" s="46" t="str">
        <f t="shared" si="0"/>
        <v>Thu</v>
      </c>
      <c r="B67" s="47">
        <v>46009</v>
      </c>
      <c r="C67" s="48">
        <v>33957</v>
      </c>
      <c r="D67" s="49" t="s">
        <v>282</v>
      </c>
      <c r="E67" s="50" t="s">
        <v>94</v>
      </c>
      <c r="F67" s="48">
        <v>4</v>
      </c>
      <c r="G67" s="51">
        <v>39</v>
      </c>
      <c r="H67" s="52">
        <v>4</v>
      </c>
      <c r="I67" s="52">
        <v>0</v>
      </c>
      <c r="J67" s="60"/>
    </row>
    <row r="68" spans="1:10">
      <c r="A68" s="46" t="str">
        <f t="shared" si="0"/>
        <v>Thu</v>
      </c>
      <c r="B68" s="47">
        <v>46009</v>
      </c>
      <c r="C68" s="48">
        <v>16738</v>
      </c>
      <c r="D68" s="49" t="s">
        <v>283</v>
      </c>
      <c r="E68" s="50" t="s">
        <v>272</v>
      </c>
      <c r="F68" s="48">
        <v>9</v>
      </c>
      <c r="G68" s="51">
        <v>39</v>
      </c>
      <c r="H68" s="52">
        <v>6.5</v>
      </c>
      <c r="I68" s="52">
        <v>0</v>
      </c>
      <c r="J68" s="60"/>
    </row>
    <row r="69" spans="1:10">
      <c r="A69" s="46" t="str">
        <f t="shared" ref="A69:A71" si="1">TEXT(B69,"DDD")</f>
        <v>Thu</v>
      </c>
      <c r="B69" s="47">
        <v>46009</v>
      </c>
      <c r="C69" s="48">
        <v>32173</v>
      </c>
      <c r="D69" s="49" t="s">
        <v>284</v>
      </c>
      <c r="E69" s="50" t="s">
        <v>94</v>
      </c>
      <c r="F69" s="48">
        <v>5</v>
      </c>
      <c r="G69" s="51">
        <v>36</v>
      </c>
      <c r="H69" s="52">
        <v>6</v>
      </c>
      <c r="I69" s="52">
        <v>0</v>
      </c>
      <c r="J69" s="60"/>
    </row>
    <row r="70" spans="1:10">
      <c r="A70" s="46" t="str">
        <f t="shared" si="1"/>
        <v>Thu</v>
      </c>
      <c r="B70" s="47">
        <v>46009</v>
      </c>
      <c r="C70" s="48">
        <v>16583</v>
      </c>
      <c r="D70" s="49" t="s">
        <v>285</v>
      </c>
      <c r="E70" s="50" t="s">
        <v>268</v>
      </c>
      <c r="F70" s="48">
        <v>8</v>
      </c>
      <c r="G70" s="51">
        <v>40</v>
      </c>
      <c r="H70" s="52">
        <v>4</v>
      </c>
      <c r="I70" s="52">
        <v>0</v>
      </c>
      <c r="J70" s="60"/>
    </row>
    <row r="71" spans="1:10">
      <c r="A71" s="46" t="str">
        <f t="shared" si="1"/>
        <v>Thu</v>
      </c>
      <c r="B71" s="47">
        <v>46009</v>
      </c>
      <c r="C71" s="48">
        <v>18711</v>
      </c>
      <c r="D71" s="49" t="s">
        <v>286</v>
      </c>
      <c r="E71" s="50" t="s">
        <v>94</v>
      </c>
      <c r="F71" s="48">
        <v>5</v>
      </c>
      <c r="G71" s="51">
        <v>34.75</v>
      </c>
      <c r="H71" s="52">
        <v>7.5</v>
      </c>
      <c r="I71" s="52">
        <v>0</v>
      </c>
      <c r="J71" s="60"/>
    </row>
    <row r="72" spans="1:10">
      <c r="J72" s="60"/>
    </row>
    <row r="73" spans="1:10">
      <c r="J73" s="60"/>
    </row>
    <row r="74" spans="1:10">
      <c r="J74" s="60"/>
    </row>
    <row r="75" spans="1:10">
      <c r="J75" s="60"/>
    </row>
    <row r="76" spans="1:10">
      <c r="J76" s="60"/>
    </row>
    <row r="77" spans="1:10">
      <c r="J77" s="60"/>
    </row>
    <row r="78" spans="1:10">
      <c r="J78" s="60"/>
    </row>
    <row r="79" spans="1:10">
      <c r="J79" s="60"/>
    </row>
    <row r="80" spans="1:10">
      <c r="J80" s="60"/>
    </row>
    <row r="81" spans="10:10">
      <c r="J81" s="60"/>
    </row>
    <row r="82" spans="10:10">
      <c r="J82" s="60"/>
    </row>
    <row r="83" spans="10:10">
      <c r="J83" s="60"/>
    </row>
    <row r="84" spans="10:10">
      <c r="J84" s="60"/>
    </row>
    <row r="85" spans="10:10">
      <c r="J85" s="60"/>
    </row>
    <row r="86" spans="10:10">
      <c r="J86" s="60"/>
    </row>
    <row r="87" spans="10:10">
      <c r="J87" s="60"/>
    </row>
    <row r="88" spans="10:10">
      <c r="J88" s="60"/>
    </row>
    <row r="89" spans="10:10">
      <c r="J89" s="60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2D47-D246-4C77-A27B-A79F8FD29C26}">
  <sheetPr codeName="Sheet7">
    <tabColor rgb="FFFF0000"/>
  </sheetPr>
  <dimension ref="A1:P42"/>
  <sheetViews>
    <sheetView zoomScale="107" workbookViewId="0">
      <selection activeCell="F14" sqref="C13:F14"/>
    </sheetView>
  </sheetViews>
  <sheetFormatPr defaultRowHeight="14.45"/>
  <cols>
    <col min="1" max="1" width="11.85546875" style="1" bestFit="1" customWidth="1"/>
    <col min="2" max="2" width="11.28515625" style="1" customWidth="1"/>
    <col min="3" max="3" width="11.5703125" style="1" bestFit="1" customWidth="1"/>
    <col min="4" max="4" width="10.7109375" style="1" bestFit="1" customWidth="1"/>
    <col min="5" max="5" width="13.140625" style="1" bestFit="1" customWidth="1"/>
    <col min="6" max="6" width="13.85546875" style="1" bestFit="1" customWidth="1"/>
    <col min="7" max="7" width="11.140625" style="1" customWidth="1"/>
    <col min="8" max="8" width="14" style="1" customWidth="1"/>
    <col min="9" max="9" width="13.42578125" style="1" customWidth="1"/>
    <col min="10" max="11" width="10.7109375" style="1" bestFit="1" customWidth="1"/>
    <col min="12" max="12" width="4.28515625" style="1" customWidth="1"/>
    <col min="13" max="13" width="8" style="1" customWidth="1"/>
    <col min="14" max="15" width="8.7109375" style="1"/>
    <col min="16" max="16" width="18.28515625" style="1" customWidth="1"/>
    <col min="17" max="257" width="8.7109375" style="1"/>
    <col min="258" max="258" width="10.85546875" style="1" customWidth="1"/>
    <col min="259" max="259" width="11.28515625" style="1" customWidth="1"/>
    <col min="260" max="260" width="11.5703125" style="1" bestFit="1" customWidth="1"/>
    <col min="261" max="261" width="10.7109375" style="1" bestFit="1" customWidth="1"/>
    <col min="262" max="262" width="13.140625" style="1" bestFit="1" customWidth="1"/>
    <col min="263" max="263" width="13.85546875" style="1" bestFit="1" customWidth="1"/>
    <col min="264" max="264" width="11.140625" style="1" customWidth="1"/>
    <col min="265" max="265" width="14" style="1" customWidth="1"/>
    <col min="266" max="266" width="13.42578125" style="1" customWidth="1"/>
    <col min="267" max="268" width="10.7109375" style="1" bestFit="1" customWidth="1"/>
    <col min="269" max="269" width="2.28515625" style="1" customWidth="1"/>
    <col min="270" max="271" width="8.7109375" style="1"/>
    <col min="272" max="272" width="18.28515625" style="1" customWidth="1"/>
    <col min="273" max="513" width="8.7109375" style="1"/>
    <col min="514" max="514" width="10.85546875" style="1" customWidth="1"/>
    <col min="515" max="515" width="11.28515625" style="1" customWidth="1"/>
    <col min="516" max="516" width="11.5703125" style="1" bestFit="1" customWidth="1"/>
    <col min="517" max="517" width="10.7109375" style="1" bestFit="1" customWidth="1"/>
    <col min="518" max="518" width="13.140625" style="1" bestFit="1" customWidth="1"/>
    <col min="519" max="519" width="13.85546875" style="1" bestFit="1" customWidth="1"/>
    <col min="520" max="520" width="11.140625" style="1" customWidth="1"/>
    <col min="521" max="521" width="14" style="1" customWidth="1"/>
    <col min="522" max="522" width="13.42578125" style="1" customWidth="1"/>
    <col min="523" max="524" width="10.7109375" style="1" bestFit="1" customWidth="1"/>
    <col min="525" max="525" width="2.28515625" style="1" customWidth="1"/>
    <col min="526" max="527" width="8.7109375" style="1"/>
    <col min="528" max="528" width="18.28515625" style="1" customWidth="1"/>
    <col min="529" max="769" width="8.7109375" style="1"/>
    <col min="770" max="770" width="10.85546875" style="1" customWidth="1"/>
    <col min="771" max="771" width="11.28515625" style="1" customWidth="1"/>
    <col min="772" max="772" width="11.5703125" style="1" bestFit="1" customWidth="1"/>
    <col min="773" max="773" width="10.7109375" style="1" bestFit="1" customWidth="1"/>
    <col min="774" max="774" width="13.140625" style="1" bestFit="1" customWidth="1"/>
    <col min="775" max="775" width="13.85546875" style="1" bestFit="1" customWidth="1"/>
    <col min="776" max="776" width="11.140625" style="1" customWidth="1"/>
    <col min="777" max="777" width="14" style="1" customWidth="1"/>
    <col min="778" max="778" width="13.42578125" style="1" customWidth="1"/>
    <col min="779" max="780" width="10.7109375" style="1" bestFit="1" customWidth="1"/>
    <col min="781" max="781" width="2.28515625" style="1" customWidth="1"/>
    <col min="782" max="783" width="8.7109375" style="1"/>
    <col min="784" max="784" width="18.28515625" style="1" customWidth="1"/>
    <col min="785" max="1025" width="8.7109375" style="1"/>
    <col min="1026" max="1026" width="10.85546875" style="1" customWidth="1"/>
    <col min="1027" max="1027" width="11.28515625" style="1" customWidth="1"/>
    <col min="1028" max="1028" width="11.5703125" style="1" bestFit="1" customWidth="1"/>
    <col min="1029" max="1029" width="10.7109375" style="1" bestFit="1" customWidth="1"/>
    <col min="1030" max="1030" width="13.140625" style="1" bestFit="1" customWidth="1"/>
    <col min="1031" max="1031" width="13.85546875" style="1" bestFit="1" customWidth="1"/>
    <col min="1032" max="1032" width="11.140625" style="1" customWidth="1"/>
    <col min="1033" max="1033" width="14" style="1" customWidth="1"/>
    <col min="1034" max="1034" width="13.42578125" style="1" customWidth="1"/>
    <col min="1035" max="1036" width="10.7109375" style="1" bestFit="1" customWidth="1"/>
    <col min="1037" max="1037" width="2.28515625" style="1" customWidth="1"/>
    <col min="1038" max="1039" width="8.7109375" style="1"/>
    <col min="1040" max="1040" width="18.28515625" style="1" customWidth="1"/>
    <col min="1041" max="1281" width="8.7109375" style="1"/>
    <col min="1282" max="1282" width="10.85546875" style="1" customWidth="1"/>
    <col min="1283" max="1283" width="11.28515625" style="1" customWidth="1"/>
    <col min="1284" max="1284" width="11.5703125" style="1" bestFit="1" customWidth="1"/>
    <col min="1285" max="1285" width="10.7109375" style="1" bestFit="1" customWidth="1"/>
    <col min="1286" max="1286" width="13.140625" style="1" bestFit="1" customWidth="1"/>
    <col min="1287" max="1287" width="13.85546875" style="1" bestFit="1" customWidth="1"/>
    <col min="1288" max="1288" width="11.140625" style="1" customWidth="1"/>
    <col min="1289" max="1289" width="14" style="1" customWidth="1"/>
    <col min="1290" max="1290" width="13.42578125" style="1" customWidth="1"/>
    <col min="1291" max="1292" width="10.7109375" style="1" bestFit="1" customWidth="1"/>
    <col min="1293" max="1293" width="2.28515625" style="1" customWidth="1"/>
    <col min="1294" max="1295" width="8.7109375" style="1"/>
    <col min="1296" max="1296" width="18.28515625" style="1" customWidth="1"/>
    <col min="1297" max="1537" width="8.7109375" style="1"/>
    <col min="1538" max="1538" width="10.85546875" style="1" customWidth="1"/>
    <col min="1539" max="1539" width="11.28515625" style="1" customWidth="1"/>
    <col min="1540" max="1540" width="11.5703125" style="1" bestFit="1" customWidth="1"/>
    <col min="1541" max="1541" width="10.7109375" style="1" bestFit="1" customWidth="1"/>
    <col min="1542" max="1542" width="13.140625" style="1" bestFit="1" customWidth="1"/>
    <col min="1543" max="1543" width="13.85546875" style="1" bestFit="1" customWidth="1"/>
    <col min="1544" max="1544" width="11.140625" style="1" customWidth="1"/>
    <col min="1545" max="1545" width="14" style="1" customWidth="1"/>
    <col min="1546" max="1546" width="13.42578125" style="1" customWidth="1"/>
    <col min="1547" max="1548" width="10.7109375" style="1" bestFit="1" customWidth="1"/>
    <col min="1549" max="1549" width="2.28515625" style="1" customWidth="1"/>
    <col min="1550" max="1551" width="8.7109375" style="1"/>
    <col min="1552" max="1552" width="18.28515625" style="1" customWidth="1"/>
    <col min="1553" max="1793" width="8.7109375" style="1"/>
    <col min="1794" max="1794" width="10.85546875" style="1" customWidth="1"/>
    <col min="1795" max="1795" width="11.28515625" style="1" customWidth="1"/>
    <col min="1796" max="1796" width="11.5703125" style="1" bestFit="1" customWidth="1"/>
    <col min="1797" max="1797" width="10.7109375" style="1" bestFit="1" customWidth="1"/>
    <col min="1798" max="1798" width="13.140625" style="1" bestFit="1" customWidth="1"/>
    <col min="1799" max="1799" width="13.85546875" style="1" bestFit="1" customWidth="1"/>
    <col min="1800" max="1800" width="11.140625" style="1" customWidth="1"/>
    <col min="1801" max="1801" width="14" style="1" customWidth="1"/>
    <col min="1802" max="1802" width="13.42578125" style="1" customWidth="1"/>
    <col min="1803" max="1804" width="10.7109375" style="1" bestFit="1" customWidth="1"/>
    <col min="1805" max="1805" width="2.28515625" style="1" customWidth="1"/>
    <col min="1806" max="1807" width="8.7109375" style="1"/>
    <col min="1808" max="1808" width="18.28515625" style="1" customWidth="1"/>
    <col min="1809" max="2049" width="8.7109375" style="1"/>
    <col min="2050" max="2050" width="10.85546875" style="1" customWidth="1"/>
    <col min="2051" max="2051" width="11.28515625" style="1" customWidth="1"/>
    <col min="2052" max="2052" width="11.5703125" style="1" bestFit="1" customWidth="1"/>
    <col min="2053" max="2053" width="10.7109375" style="1" bestFit="1" customWidth="1"/>
    <col min="2054" max="2054" width="13.140625" style="1" bestFit="1" customWidth="1"/>
    <col min="2055" max="2055" width="13.85546875" style="1" bestFit="1" customWidth="1"/>
    <col min="2056" max="2056" width="11.140625" style="1" customWidth="1"/>
    <col min="2057" max="2057" width="14" style="1" customWidth="1"/>
    <col min="2058" max="2058" width="13.42578125" style="1" customWidth="1"/>
    <col min="2059" max="2060" width="10.7109375" style="1" bestFit="1" customWidth="1"/>
    <col min="2061" max="2061" width="2.28515625" style="1" customWidth="1"/>
    <col min="2062" max="2063" width="8.7109375" style="1"/>
    <col min="2064" max="2064" width="18.28515625" style="1" customWidth="1"/>
    <col min="2065" max="2305" width="8.7109375" style="1"/>
    <col min="2306" max="2306" width="10.85546875" style="1" customWidth="1"/>
    <col min="2307" max="2307" width="11.28515625" style="1" customWidth="1"/>
    <col min="2308" max="2308" width="11.5703125" style="1" bestFit="1" customWidth="1"/>
    <col min="2309" max="2309" width="10.7109375" style="1" bestFit="1" customWidth="1"/>
    <col min="2310" max="2310" width="13.140625" style="1" bestFit="1" customWidth="1"/>
    <col min="2311" max="2311" width="13.85546875" style="1" bestFit="1" customWidth="1"/>
    <col min="2312" max="2312" width="11.140625" style="1" customWidth="1"/>
    <col min="2313" max="2313" width="14" style="1" customWidth="1"/>
    <col min="2314" max="2314" width="13.42578125" style="1" customWidth="1"/>
    <col min="2315" max="2316" width="10.7109375" style="1" bestFit="1" customWidth="1"/>
    <col min="2317" max="2317" width="2.28515625" style="1" customWidth="1"/>
    <col min="2318" max="2319" width="8.7109375" style="1"/>
    <col min="2320" max="2320" width="18.28515625" style="1" customWidth="1"/>
    <col min="2321" max="2561" width="8.7109375" style="1"/>
    <col min="2562" max="2562" width="10.85546875" style="1" customWidth="1"/>
    <col min="2563" max="2563" width="11.28515625" style="1" customWidth="1"/>
    <col min="2564" max="2564" width="11.5703125" style="1" bestFit="1" customWidth="1"/>
    <col min="2565" max="2565" width="10.7109375" style="1" bestFit="1" customWidth="1"/>
    <col min="2566" max="2566" width="13.140625" style="1" bestFit="1" customWidth="1"/>
    <col min="2567" max="2567" width="13.85546875" style="1" bestFit="1" customWidth="1"/>
    <col min="2568" max="2568" width="11.140625" style="1" customWidth="1"/>
    <col min="2569" max="2569" width="14" style="1" customWidth="1"/>
    <col min="2570" max="2570" width="13.42578125" style="1" customWidth="1"/>
    <col min="2571" max="2572" width="10.7109375" style="1" bestFit="1" customWidth="1"/>
    <col min="2573" max="2573" width="2.28515625" style="1" customWidth="1"/>
    <col min="2574" max="2575" width="8.7109375" style="1"/>
    <col min="2576" max="2576" width="18.28515625" style="1" customWidth="1"/>
    <col min="2577" max="2817" width="8.7109375" style="1"/>
    <col min="2818" max="2818" width="10.85546875" style="1" customWidth="1"/>
    <col min="2819" max="2819" width="11.28515625" style="1" customWidth="1"/>
    <col min="2820" max="2820" width="11.5703125" style="1" bestFit="1" customWidth="1"/>
    <col min="2821" max="2821" width="10.7109375" style="1" bestFit="1" customWidth="1"/>
    <col min="2822" max="2822" width="13.140625" style="1" bestFit="1" customWidth="1"/>
    <col min="2823" max="2823" width="13.85546875" style="1" bestFit="1" customWidth="1"/>
    <col min="2824" max="2824" width="11.140625" style="1" customWidth="1"/>
    <col min="2825" max="2825" width="14" style="1" customWidth="1"/>
    <col min="2826" max="2826" width="13.42578125" style="1" customWidth="1"/>
    <col min="2827" max="2828" width="10.7109375" style="1" bestFit="1" customWidth="1"/>
    <col min="2829" max="2829" width="2.28515625" style="1" customWidth="1"/>
    <col min="2830" max="2831" width="8.7109375" style="1"/>
    <col min="2832" max="2832" width="18.28515625" style="1" customWidth="1"/>
    <col min="2833" max="3073" width="8.7109375" style="1"/>
    <col min="3074" max="3074" width="10.85546875" style="1" customWidth="1"/>
    <col min="3075" max="3075" width="11.28515625" style="1" customWidth="1"/>
    <col min="3076" max="3076" width="11.5703125" style="1" bestFit="1" customWidth="1"/>
    <col min="3077" max="3077" width="10.7109375" style="1" bestFit="1" customWidth="1"/>
    <col min="3078" max="3078" width="13.140625" style="1" bestFit="1" customWidth="1"/>
    <col min="3079" max="3079" width="13.85546875" style="1" bestFit="1" customWidth="1"/>
    <col min="3080" max="3080" width="11.140625" style="1" customWidth="1"/>
    <col min="3081" max="3081" width="14" style="1" customWidth="1"/>
    <col min="3082" max="3082" width="13.42578125" style="1" customWidth="1"/>
    <col min="3083" max="3084" width="10.7109375" style="1" bestFit="1" customWidth="1"/>
    <col min="3085" max="3085" width="2.28515625" style="1" customWidth="1"/>
    <col min="3086" max="3087" width="8.7109375" style="1"/>
    <col min="3088" max="3088" width="18.28515625" style="1" customWidth="1"/>
    <col min="3089" max="3329" width="8.7109375" style="1"/>
    <col min="3330" max="3330" width="10.85546875" style="1" customWidth="1"/>
    <col min="3331" max="3331" width="11.28515625" style="1" customWidth="1"/>
    <col min="3332" max="3332" width="11.5703125" style="1" bestFit="1" customWidth="1"/>
    <col min="3333" max="3333" width="10.7109375" style="1" bestFit="1" customWidth="1"/>
    <col min="3334" max="3334" width="13.140625" style="1" bestFit="1" customWidth="1"/>
    <col min="3335" max="3335" width="13.85546875" style="1" bestFit="1" customWidth="1"/>
    <col min="3336" max="3336" width="11.140625" style="1" customWidth="1"/>
    <col min="3337" max="3337" width="14" style="1" customWidth="1"/>
    <col min="3338" max="3338" width="13.42578125" style="1" customWidth="1"/>
    <col min="3339" max="3340" width="10.7109375" style="1" bestFit="1" customWidth="1"/>
    <col min="3341" max="3341" width="2.28515625" style="1" customWidth="1"/>
    <col min="3342" max="3343" width="8.7109375" style="1"/>
    <col min="3344" max="3344" width="18.28515625" style="1" customWidth="1"/>
    <col min="3345" max="3585" width="8.7109375" style="1"/>
    <col min="3586" max="3586" width="10.85546875" style="1" customWidth="1"/>
    <col min="3587" max="3587" width="11.28515625" style="1" customWidth="1"/>
    <col min="3588" max="3588" width="11.5703125" style="1" bestFit="1" customWidth="1"/>
    <col min="3589" max="3589" width="10.7109375" style="1" bestFit="1" customWidth="1"/>
    <col min="3590" max="3590" width="13.140625" style="1" bestFit="1" customWidth="1"/>
    <col min="3591" max="3591" width="13.85546875" style="1" bestFit="1" customWidth="1"/>
    <col min="3592" max="3592" width="11.140625" style="1" customWidth="1"/>
    <col min="3593" max="3593" width="14" style="1" customWidth="1"/>
    <col min="3594" max="3594" width="13.42578125" style="1" customWidth="1"/>
    <col min="3595" max="3596" width="10.7109375" style="1" bestFit="1" customWidth="1"/>
    <col min="3597" max="3597" width="2.28515625" style="1" customWidth="1"/>
    <col min="3598" max="3599" width="8.7109375" style="1"/>
    <col min="3600" max="3600" width="18.28515625" style="1" customWidth="1"/>
    <col min="3601" max="3841" width="8.7109375" style="1"/>
    <col min="3842" max="3842" width="10.85546875" style="1" customWidth="1"/>
    <col min="3843" max="3843" width="11.28515625" style="1" customWidth="1"/>
    <col min="3844" max="3844" width="11.5703125" style="1" bestFit="1" customWidth="1"/>
    <col min="3845" max="3845" width="10.7109375" style="1" bestFit="1" customWidth="1"/>
    <col min="3846" max="3846" width="13.140625" style="1" bestFit="1" customWidth="1"/>
    <col min="3847" max="3847" width="13.85546875" style="1" bestFit="1" customWidth="1"/>
    <col min="3848" max="3848" width="11.140625" style="1" customWidth="1"/>
    <col min="3849" max="3849" width="14" style="1" customWidth="1"/>
    <col min="3850" max="3850" width="13.42578125" style="1" customWidth="1"/>
    <col min="3851" max="3852" width="10.7109375" style="1" bestFit="1" customWidth="1"/>
    <col min="3853" max="3853" width="2.28515625" style="1" customWidth="1"/>
    <col min="3854" max="3855" width="8.7109375" style="1"/>
    <col min="3856" max="3856" width="18.28515625" style="1" customWidth="1"/>
    <col min="3857" max="4097" width="8.7109375" style="1"/>
    <col min="4098" max="4098" width="10.85546875" style="1" customWidth="1"/>
    <col min="4099" max="4099" width="11.28515625" style="1" customWidth="1"/>
    <col min="4100" max="4100" width="11.5703125" style="1" bestFit="1" customWidth="1"/>
    <col min="4101" max="4101" width="10.7109375" style="1" bestFit="1" customWidth="1"/>
    <col min="4102" max="4102" width="13.140625" style="1" bestFit="1" customWidth="1"/>
    <col min="4103" max="4103" width="13.85546875" style="1" bestFit="1" customWidth="1"/>
    <col min="4104" max="4104" width="11.140625" style="1" customWidth="1"/>
    <col min="4105" max="4105" width="14" style="1" customWidth="1"/>
    <col min="4106" max="4106" width="13.42578125" style="1" customWidth="1"/>
    <col min="4107" max="4108" width="10.7109375" style="1" bestFit="1" customWidth="1"/>
    <col min="4109" max="4109" width="2.28515625" style="1" customWidth="1"/>
    <col min="4110" max="4111" width="8.7109375" style="1"/>
    <col min="4112" max="4112" width="18.28515625" style="1" customWidth="1"/>
    <col min="4113" max="4353" width="8.7109375" style="1"/>
    <col min="4354" max="4354" width="10.85546875" style="1" customWidth="1"/>
    <col min="4355" max="4355" width="11.28515625" style="1" customWidth="1"/>
    <col min="4356" max="4356" width="11.5703125" style="1" bestFit="1" customWidth="1"/>
    <col min="4357" max="4357" width="10.7109375" style="1" bestFit="1" customWidth="1"/>
    <col min="4358" max="4358" width="13.140625" style="1" bestFit="1" customWidth="1"/>
    <col min="4359" max="4359" width="13.85546875" style="1" bestFit="1" customWidth="1"/>
    <col min="4360" max="4360" width="11.140625" style="1" customWidth="1"/>
    <col min="4361" max="4361" width="14" style="1" customWidth="1"/>
    <col min="4362" max="4362" width="13.42578125" style="1" customWidth="1"/>
    <col min="4363" max="4364" width="10.7109375" style="1" bestFit="1" customWidth="1"/>
    <col min="4365" max="4365" width="2.28515625" style="1" customWidth="1"/>
    <col min="4366" max="4367" width="8.7109375" style="1"/>
    <col min="4368" max="4368" width="18.28515625" style="1" customWidth="1"/>
    <col min="4369" max="4609" width="8.7109375" style="1"/>
    <col min="4610" max="4610" width="10.85546875" style="1" customWidth="1"/>
    <col min="4611" max="4611" width="11.28515625" style="1" customWidth="1"/>
    <col min="4612" max="4612" width="11.5703125" style="1" bestFit="1" customWidth="1"/>
    <col min="4613" max="4613" width="10.7109375" style="1" bestFit="1" customWidth="1"/>
    <col min="4614" max="4614" width="13.140625" style="1" bestFit="1" customWidth="1"/>
    <col min="4615" max="4615" width="13.85546875" style="1" bestFit="1" customWidth="1"/>
    <col min="4616" max="4616" width="11.140625" style="1" customWidth="1"/>
    <col min="4617" max="4617" width="14" style="1" customWidth="1"/>
    <col min="4618" max="4618" width="13.42578125" style="1" customWidth="1"/>
    <col min="4619" max="4620" width="10.7109375" style="1" bestFit="1" customWidth="1"/>
    <col min="4621" max="4621" width="2.28515625" style="1" customWidth="1"/>
    <col min="4622" max="4623" width="8.7109375" style="1"/>
    <col min="4624" max="4624" width="18.28515625" style="1" customWidth="1"/>
    <col min="4625" max="4865" width="8.7109375" style="1"/>
    <col min="4866" max="4866" width="10.85546875" style="1" customWidth="1"/>
    <col min="4867" max="4867" width="11.28515625" style="1" customWidth="1"/>
    <col min="4868" max="4868" width="11.5703125" style="1" bestFit="1" customWidth="1"/>
    <col min="4869" max="4869" width="10.7109375" style="1" bestFit="1" customWidth="1"/>
    <col min="4870" max="4870" width="13.140625" style="1" bestFit="1" customWidth="1"/>
    <col min="4871" max="4871" width="13.85546875" style="1" bestFit="1" customWidth="1"/>
    <col min="4872" max="4872" width="11.140625" style="1" customWidth="1"/>
    <col min="4873" max="4873" width="14" style="1" customWidth="1"/>
    <col min="4874" max="4874" width="13.42578125" style="1" customWidth="1"/>
    <col min="4875" max="4876" width="10.7109375" style="1" bestFit="1" customWidth="1"/>
    <col min="4877" max="4877" width="2.28515625" style="1" customWidth="1"/>
    <col min="4878" max="4879" width="8.7109375" style="1"/>
    <col min="4880" max="4880" width="18.28515625" style="1" customWidth="1"/>
    <col min="4881" max="5121" width="8.7109375" style="1"/>
    <col min="5122" max="5122" width="10.85546875" style="1" customWidth="1"/>
    <col min="5123" max="5123" width="11.28515625" style="1" customWidth="1"/>
    <col min="5124" max="5124" width="11.5703125" style="1" bestFit="1" customWidth="1"/>
    <col min="5125" max="5125" width="10.7109375" style="1" bestFit="1" customWidth="1"/>
    <col min="5126" max="5126" width="13.140625" style="1" bestFit="1" customWidth="1"/>
    <col min="5127" max="5127" width="13.85546875" style="1" bestFit="1" customWidth="1"/>
    <col min="5128" max="5128" width="11.140625" style="1" customWidth="1"/>
    <col min="5129" max="5129" width="14" style="1" customWidth="1"/>
    <col min="5130" max="5130" width="13.42578125" style="1" customWidth="1"/>
    <col min="5131" max="5132" width="10.7109375" style="1" bestFit="1" customWidth="1"/>
    <col min="5133" max="5133" width="2.28515625" style="1" customWidth="1"/>
    <col min="5134" max="5135" width="8.7109375" style="1"/>
    <col min="5136" max="5136" width="18.28515625" style="1" customWidth="1"/>
    <col min="5137" max="5377" width="8.7109375" style="1"/>
    <col min="5378" max="5378" width="10.85546875" style="1" customWidth="1"/>
    <col min="5379" max="5379" width="11.28515625" style="1" customWidth="1"/>
    <col min="5380" max="5380" width="11.5703125" style="1" bestFit="1" customWidth="1"/>
    <col min="5381" max="5381" width="10.7109375" style="1" bestFit="1" customWidth="1"/>
    <col min="5382" max="5382" width="13.140625" style="1" bestFit="1" customWidth="1"/>
    <col min="5383" max="5383" width="13.85546875" style="1" bestFit="1" customWidth="1"/>
    <col min="5384" max="5384" width="11.140625" style="1" customWidth="1"/>
    <col min="5385" max="5385" width="14" style="1" customWidth="1"/>
    <col min="5386" max="5386" width="13.42578125" style="1" customWidth="1"/>
    <col min="5387" max="5388" width="10.7109375" style="1" bestFit="1" customWidth="1"/>
    <col min="5389" max="5389" width="2.28515625" style="1" customWidth="1"/>
    <col min="5390" max="5391" width="8.7109375" style="1"/>
    <col min="5392" max="5392" width="18.28515625" style="1" customWidth="1"/>
    <col min="5393" max="5633" width="8.7109375" style="1"/>
    <col min="5634" max="5634" width="10.85546875" style="1" customWidth="1"/>
    <col min="5635" max="5635" width="11.28515625" style="1" customWidth="1"/>
    <col min="5636" max="5636" width="11.5703125" style="1" bestFit="1" customWidth="1"/>
    <col min="5637" max="5637" width="10.7109375" style="1" bestFit="1" customWidth="1"/>
    <col min="5638" max="5638" width="13.140625" style="1" bestFit="1" customWidth="1"/>
    <col min="5639" max="5639" width="13.85546875" style="1" bestFit="1" customWidth="1"/>
    <col min="5640" max="5640" width="11.140625" style="1" customWidth="1"/>
    <col min="5641" max="5641" width="14" style="1" customWidth="1"/>
    <col min="5642" max="5642" width="13.42578125" style="1" customWidth="1"/>
    <col min="5643" max="5644" width="10.7109375" style="1" bestFit="1" customWidth="1"/>
    <col min="5645" max="5645" width="2.28515625" style="1" customWidth="1"/>
    <col min="5646" max="5647" width="8.7109375" style="1"/>
    <col min="5648" max="5648" width="18.28515625" style="1" customWidth="1"/>
    <col min="5649" max="5889" width="8.7109375" style="1"/>
    <col min="5890" max="5890" width="10.85546875" style="1" customWidth="1"/>
    <col min="5891" max="5891" width="11.28515625" style="1" customWidth="1"/>
    <col min="5892" max="5892" width="11.5703125" style="1" bestFit="1" customWidth="1"/>
    <col min="5893" max="5893" width="10.7109375" style="1" bestFit="1" customWidth="1"/>
    <col min="5894" max="5894" width="13.140625" style="1" bestFit="1" customWidth="1"/>
    <col min="5895" max="5895" width="13.85546875" style="1" bestFit="1" customWidth="1"/>
    <col min="5896" max="5896" width="11.140625" style="1" customWidth="1"/>
    <col min="5897" max="5897" width="14" style="1" customWidth="1"/>
    <col min="5898" max="5898" width="13.42578125" style="1" customWidth="1"/>
    <col min="5899" max="5900" width="10.7109375" style="1" bestFit="1" customWidth="1"/>
    <col min="5901" max="5901" width="2.28515625" style="1" customWidth="1"/>
    <col min="5902" max="5903" width="8.7109375" style="1"/>
    <col min="5904" max="5904" width="18.28515625" style="1" customWidth="1"/>
    <col min="5905" max="6145" width="8.7109375" style="1"/>
    <col min="6146" max="6146" width="10.85546875" style="1" customWidth="1"/>
    <col min="6147" max="6147" width="11.28515625" style="1" customWidth="1"/>
    <col min="6148" max="6148" width="11.5703125" style="1" bestFit="1" customWidth="1"/>
    <col min="6149" max="6149" width="10.7109375" style="1" bestFit="1" customWidth="1"/>
    <col min="6150" max="6150" width="13.140625" style="1" bestFit="1" customWidth="1"/>
    <col min="6151" max="6151" width="13.85546875" style="1" bestFit="1" customWidth="1"/>
    <col min="6152" max="6152" width="11.140625" style="1" customWidth="1"/>
    <col min="6153" max="6153" width="14" style="1" customWidth="1"/>
    <col min="6154" max="6154" width="13.42578125" style="1" customWidth="1"/>
    <col min="6155" max="6156" width="10.7109375" style="1" bestFit="1" customWidth="1"/>
    <col min="6157" max="6157" width="2.28515625" style="1" customWidth="1"/>
    <col min="6158" max="6159" width="8.7109375" style="1"/>
    <col min="6160" max="6160" width="18.28515625" style="1" customWidth="1"/>
    <col min="6161" max="6401" width="8.7109375" style="1"/>
    <col min="6402" max="6402" width="10.85546875" style="1" customWidth="1"/>
    <col min="6403" max="6403" width="11.28515625" style="1" customWidth="1"/>
    <col min="6404" max="6404" width="11.5703125" style="1" bestFit="1" customWidth="1"/>
    <col min="6405" max="6405" width="10.7109375" style="1" bestFit="1" customWidth="1"/>
    <col min="6406" max="6406" width="13.140625" style="1" bestFit="1" customWidth="1"/>
    <col min="6407" max="6407" width="13.85546875" style="1" bestFit="1" customWidth="1"/>
    <col min="6408" max="6408" width="11.140625" style="1" customWidth="1"/>
    <col min="6409" max="6409" width="14" style="1" customWidth="1"/>
    <col min="6410" max="6410" width="13.42578125" style="1" customWidth="1"/>
    <col min="6411" max="6412" width="10.7109375" style="1" bestFit="1" customWidth="1"/>
    <col min="6413" max="6413" width="2.28515625" style="1" customWidth="1"/>
    <col min="6414" max="6415" width="8.7109375" style="1"/>
    <col min="6416" max="6416" width="18.28515625" style="1" customWidth="1"/>
    <col min="6417" max="6657" width="8.7109375" style="1"/>
    <col min="6658" max="6658" width="10.85546875" style="1" customWidth="1"/>
    <col min="6659" max="6659" width="11.28515625" style="1" customWidth="1"/>
    <col min="6660" max="6660" width="11.5703125" style="1" bestFit="1" customWidth="1"/>
    <col min="6661" max="6661" width="10.7109375" style="1" bestFit="1" customWidth="1"/>
    <col min="6662" max="6662" width="13.140625" style="1" bestFit="1" customWidth="1"/>
    <col min="6663" max="6663" width="13.85546875" style="1" bestFit="1" customWidth="1"/>
    <col min="6664" max="6664" width="11.140625" style="1" customWidth="1"/>
    <col min="6665" max="6665" width="14" style="1" customWidth="1"/>
    <col min="6666" max="6666" width="13.42578125" style="1" customWidth="1"/>
    <col min="6667" max="6668" width="10.7109375" style="1" bestFit="1" customWidth="1"/>
    <col min="6669" max="6669" width="2.28515625" style="1" customWidth="1"/>
    <col min="6670" max="6671" width="8.7109375" style="1"/>
    <col min="6672" max="6672" width="18.28515625" style="1" customWidth="1"/>
    <col min="6673" max="6913" width="8.7109375" style="1"/>
    <col min="6914" max="6914" width="10.85546875" style="1" customWidth="1"/>
    <col min="6915" max="6915" width="11.28515625" style="1" customWidth="1"/>
    <col min="6916" max="6916" width="11.5703125" style="1" bestFit="1" customWidth="1"/>
    <col min="6917" max="6917" width="10.7109375" style="1" bestFit="1" customWidth="1"/>
    <col min="6918" max="6918" width="13.140625" style="1" bestFit="1" customWidth="1"/>
    <col min="6919" max="6919" width="13.85546875" style="1" bestFit="1" customWidth="1"/>
    <col min="6920" max="6920" width="11.140625" style="1" customWidth="1"/>
    <col min="6921" max="6921" width="14" style="1" customWidth="1"/>
    <col min="6922" max="6922" width="13.42578125" style="1" customWidth="1"/>
    <col min="6923" max="6924" width="10.7109375" style="1" bestFit="1" customWidth="1"/>
    <col min="6925" max="6925" width="2.28515625" style="1" customWidth="1"/>
    <col min="6926" max="6927" width="8.7109375" style="1"/>
    <col min="6928" max="6928" width="18.28515625" style="1" customWidth="1"/>
    <col min="6929" max="7169" width="8.7109375" style="1"/>
    <col min="7170" max="7170" width="10.85546875" style="1" customWidth="1"/>
    <col min="7171" max="7171" width="11.28515625" style="1" customWidth="1"/>
    <col min="7172" max="7172" width="11.5703125" style="1" bestFit="1" customWidth="1"/>
    <col min="7173" max="7173" width="10.7109375" style="1" bestFit="1" customWidth="1"/>
    <col min="7174" max="7174" width="13.140625" style="1" bestFit="1" customWidth="1"/>
    <col min="7175" max="7175" width="13.85546875" style="1" bestFit="1" customWidth="1"/>
    <col min="7176" max="7176" width="11.140625" style="1" customWidth="1"/>
    <col min="7177" max="7177" width="14" style="1" customWidth="1"/>
    <col min="7178" max="7178" width="13.42578125" style="1" customWidth="1"/>
    <col min="7179" max="7180" width="10.7109375" style="1" bestFit="1" customWidth="1"/>
    <col min="7181" max="7181" width="2.28515625" style="1" customWidth="1"/>
    <col min="7182" max="7183" width="8.7109375" style="1"/>
    <col min="7184" max="7184" width="18.28515625" style="1" customWidth="1"/>
    <col min="7185" max="7425" width="8.7109375" style="1"/>
    <col min="7426" max="7426" width="10.85546875" style="1" customWidth="1"/>
    <col min="7427" max="7427" width="11.28515625" style="1" customWidth="1"/>
    <col min="7428" max="7428" width="11.5703125" style="1" bestFit="1" customWidth="1"/>
    <col min="7429" max="7429" width="10.7109375" style="1" bestFit="1" customWidth="1"/>
    <col min="7430" max="7430" width="13.140625" style="1" bestFit="1" customWidth="1"/>
    <col min="7431" max="7431" width="13.85546875" style="1" bestFit="1" customWidth="1"/>
    <col min="7432" max="7432" width="11.140625" style="1" customWidth="1"/>
    <col min="7433" max="7433" width="14" style="1" customWidth="1"/>
    <col min="7434" max="7434" width="13.42578125" style="1" customWidth="1"/>
    <col min="7435" max="7436" width="10.7109375" style="1" bestFit="1" customWidth="1"/>
    <col min="7437" max="7437" width="2.28515625" style="1" customWidth="1"/>
    <col min="7438" max="7439" width="8.7109375" style="1"/>
    <col min="7440" max="7440" width="18.28515625" style="1" customWidth="1"/>
    <col min="7441" max="7681" width="8.7109375" style="1"/>
    <col min="7682" max="7682" width="10.85546875" style="1" customWidth="1"/>
    <col min="7683" max="7683" width="11.28515625" style="1" customWidth="1"/>
    <col min="7684" max="7684" width="11.5703125" style="1" bestFit="1" customWidth="1"/>
    <col min="7685" max="7685" width="10.7109375" style="1" bestFit="1" customWidth="1"/>
    <col min="7686" max="7686" width="13.140625" style="1" bestFit="1" customWidth="1"/>
    <col min="7687" max="7687" width="13.85546875" style="1" bestFit="1" customWidth="1"/>
    <col min="7688" max="7688" width="11.140625" style="1" customWidth="1"/>
    <col min="7689" max="7689" width="14" style="1" customWidth="1"/>
    <col min="7690" max="7690" width="13.42578125" style="1" customWidth="1"/>
    <col min="7691" max="7692" width="10.7109375" style="1" bestFit="1" customWidth="1"/>
    <col min="7693" max="7693" width="2.28515625" style="1" customWidth="1"/>
    <col min="7694" max="7695" width="8.7109375" style="1"/>
    <col min="7696" max="7696" width="18.28515625" style="1" customWidth="1"/>
    <col min="7697" max="7937" width="8.7109375" style="1"/>
    <col min="7938" max="7938" width="10.85546875" style="1" customWidth="1"/>
    <col min="7939" max="7939" width="11.28515625" style="1" customWidth="1"/>
    <col min="7940" max="7940" width="11.5703125" style="1" bestFit="1" customWidth="1"/>
    <col min="7941" max="7941" width="10.7109375" style="1" bestFit="1" customWidth="1"/>
    <col min="7942" max="7942" width="13.140625" style="1" bestFit="1" customWidth="1"/>
    <col min="7943" max="7943" width="13.85546875" style="1" bestFit="1" customWidth="1"/>
    <col min="7944" max="7944" width="11.140625" style="1" customWidth="1"/>
    <col min="7945" max="7945" width="14" style="1" customWidth="1"/>
    <col min="7946" max="7946" width="13.42578125" style="1" customWidth="1"/>
    <col min="7947" max="7948" width="10.7109375" style="1" bestFit="1" customWidth="1"/>
    <col min="7949" max="7949" width="2.28515625" style="1" customWidth="1"/>
    <col min="7950" max="7951" width="8.7109375" style="1"/>
    <col min="7952" max="7952" width="18.28515625" style="1" customWidth="1"/>
    <col min="7953" max="8193" width="8.7109375" style="1"/>
    <col min="8194" max="8194" width="10.85546875" style="1" customWidth="1"/>
    <col min="8195" max="8195" width="11.28515625" style="1" customWidth="1"/>
    <col min="8196" max="8196" width="11.5703125" style="1" bestFit="1" customWidth="1"/>
    <col min="8197" max="8197" width="10.7109375" style="1" bestFit="1" customWidth="1"/>
    <col min="8198" max="8198" width="13.140625" style="1" bestFit="1" customWidth="1"/>
    <col min="8199" max="8199" width="13.85546875" style="1" bestFit="1" customWidth="1"/>
    <col min="8200" max="8200" width="11.140625" style="1" customWidth="1"/>
    <col min="8201" max="8201" width="14" style="1" customWidth="1"/>
    <col min="8202" max="8202" width="13.42578125" style="1" customWidth="1"/>
    <col min="8203" max="8204" width="10.7109375" style="1" bestFit="1" customWidth="1"/>
    <col min="8205" max="8205" width="2.28515625" style="1" customWidth="1"/>
    <col min="8206" max="8207" width="8.7109375" style="1"/>
    <col min="8208" max="8208" width="18.28515625" style="1" customWidth="1"/>
    <col min="8209" max="8449" width="8.7109375" style="1"/>
    <col min="8450" max="8450" width="10.85546875" style="1" customWidth="1"/>
    <col min="8451" max="8451" width="11.28515625" style="1" customWidth="1"/>
    <col min="8452" max="8452" width="11.5703125" style="1" bestFit="1" customWidth="1"/>
    <col min="8453" max="8453" width="10.7109375" style="1" bestFit="1" customWidth="1"/>
    <col min="8454" max="8454" width="13.140625" style="1" bestFit="1" customWidth="1"/>
    <col min="8455" max="8455" width="13.85546875" style="1" bestFit="1" customWidth="1"/>
    <col min="8456" max="8456" width="11.140625" style="1" customWidth="1"/>
    <col min="8457" max="8457" width="14" style="1" customWidth="1"/>
    <col min="8458" max="8458" width="13.42578125" style="1" customWidth="1"/>
    <col min="8459" max="8460" width="10.7109375" style="1" bestFit="1" customWidth="1"/>
    <col min="8461" max="8461" width="2.28515625" style="1" customWidth="1"/>
    <col min="8462" max="8463" width="8.7109375" style="1"/>
    <col min="8464" max="8464" width="18.28515625" style="1" customWidth="1"/>
    <col min="8465" max="8705" width="8.7109375" style="1"/>
    <col min="8706" max="8706" width="10.85546875" style="1" customWidth="1"/>
    <col min="8707" max="8707" width="11.28515625" style="1" customWidth="1"/>
    <col min="8708" max="8708" width="11.5703125" style="1" bestFit="1" customWidth="1"/>
    <col min="8709" max="8709" width="10.7109375" style="1" bestFit="1" customWidth="1"/>
    <col min="8710" max="8710" width="13.140625" style="1" bestFit="1" customWidth="1"/>
    <col min="8711" max="8711" width="13.85546875" style="1" bestFit="1" customWidth="1"/>
    <col min="8712" max="8712" width="11.140625" style="1" customWidth="1"/>
    <col min="8713" max="8713" width="14" style="1" customWidth="1"/>
    <col min="8714" max="8714" width="13.42578125" style="1" customWidth="1"/>
    <col min="8715" max="8716" width="10.7109375" style="1" bestFit="1" customWidth="1"/>
    <col min="8717" max="8717" width="2.28515625" style="1" customWidth="1"/>
    <col min="8718" max="8719" width="8.7109375" style="1"/>
    <col min="8720" max="8720" width="18.28515625" style="1" customWidth="1"/>
    <col min="8721" max="8961" width="8.7109375" style="1"/>
    <col min="8962" max="8962" width="10.85546875" style="1" customWidth="1"/>
    <col min="8963" max="8963" width="11.28515625" style="1" customWidth="1"/>
    <col min="8964" max="8964" width="11.5703125" style="1" bestFit="1" customWidth="1"/>
    <col min="8965" max="8965" width="10.7109375" style="1" bestFit="1" customWidth="1"/>
    <col min="8966" max="8966" width="13.140625" style="1" bestFit="1" customWidth="1"/>
    <col min="8967" max="8967" width="13.85546875" style="1" bestFit="1" customWidth="1"/>
    <col min="8968" max="8968" width="11.140625" style="1" customWidth="1"/>
    <col min="8969" max="8969" width="14" style="1" customWidth="1"/>
    <col min="8970" max="8970" width="13.42578125" style="1" customWidth="1"/>
    <col min="8971" max="8972" width="10.7109375" style="1" bestFit="1" customWidth="1"/>
    <col min="8973" max="8973" width="2.28515625" style="1" customWidth="1"/>
    <col min="8974" max="8975" width="8.7109375" style="1"/>
    <col min="8976" max="8976" width="18.28515625" style="1" customWidth="1"/>
    <col min="8977" max="9217" width="8.7109375" style="1"/>
    <col min="9218" max="9218" width="10.85546875" style="1" customWidth="1"/>
    <col min="9219" max="9219" width="11.28515625" style="1" customWidth="1"/>
    <col min="9220" max="9220" width="11.5703125" style="1" bestFit="1" customWidth="1"/>
    <col min="9221" max="9221" width="10.7109375" style="1" bestFit="1" customWidth="1"/>
    <col min="9222" max="9222" width="13.140625" style="1" bestFit="1" customWidth="1"/>
    <col min="9223" max="9223" width="13.85546875" style="1" bestFit="1" customWidth="1"/>
    <col min="9224" max="9224" width="11.140625" style="1" customWidth="1"/>
    <col min="9225" max="9225" width="14" style="1" customWidth="1"/>
    <col min="9226" max="9226" width="13.42578125" style="1" customWidth="1"/>
    <col min="9227" max="9228" width="10.7109375" style="1" bestFit="1" customWidth="1"/>
    <col min="9229" max="9229" width="2.28515625" style="1" customWidth="1"/>
    <col min="9230" max="9231" width="8.7109375" style="1"/>
    <col min="9232" max="9232" width="18.28515625" style="1" customWidth="1"/>
    <col min="9233" max="9473" width="8.7109375" style="1"/>
    <col min="9474" max="9474" width="10.85546875" style="1" customWidth="1"/>
    <col min="9475" max="9475" width="11.28515625" style="1" customWidth="1"/>
    <col min="9476" max="9476" width="11.5703125" style="1" bestFit="1" customWidth="1"/>
    <col min="9477" max="9477" width="10.7109375" style="1" bestFit="1" customWidth="1"/>
    <col min="9478" max="9478" width="13.140625" style="1" bestFit="1" customWidth="1"/>
    <col min="9479" max="9479" width="13.85546875" style="1" bestFit="1" customWidth="1"/>
    <col min="9480" max="9480" width="11.140625" style="1" customWidth="1"/>
    <col min="9481" max="9481" width="14" style="1" customWidth="1"/>
    <col min="9482" max="9482" width="13.42578125" style="1" customWidth="1"/>
    <col min="9483" max="9484" width="10.7109375" style="1" bestFit="1" customWidth="1"/>
    <col min="9485" max="9485" width="2.28515625" style="1" customWidth="1"/>
    <col min="9486" max="9487" width="8.7109375" style="1"/>
    <col min="9488" max="9488" width="18.28515625" style="1" customWidth="1"/>
    <col min="9489" max="9729" width="8.7109375" style="1"/>
    <col min="9730" max="9730" width="10.85546875" style="1" customWidth="1"/>
    <col min="9731" max="9731" width="11.28515625" style="1" customWidth="1"/>
    <col min="9732" max="9732" width="11.5703125" style="1" bestFit="1" customWidth="1"/>
    <col min="9733" max="9733" width="10.7109375" style="1" bestFit="1" customWidth="1"/>
    <col min="9734" max="9734" width="13.140625" style="1" bestFit="1" customWidth="1"/>
    <col min="9735" max="9735" width="13.85546875" style="1" bestFit="1" customWidth="1"/>
    <col min="9736" max="9736" width="11.140625" style="1" customWidth="1"/>
    <col min="9737" max="9737" width="14" style="1" customWidth="1"/>
    <col min="9738" max="9738" width="13.42578125" style="1" customWidth="1"/>
    <col min="9739" max="9740" width="10.7109375" style="1" bestFit="1" customWidth="1"/>
    <col min="9741" max="9741" width="2.28515625" style="1" customWidth="1"/>
    <col min="9742" max="9743" width="8.7109375" style="1"/>
    <col min="9744" max="9744" width="18.28515625" style="1" customWidth="1"/>
    <col min="9745" max="9985" width="8.7109375" style="1"/>
    <col min="9986" max="9986" width="10.85546875" style="1" customWidth="1"/>
    <col min="9987" max="9987" width="11.28515625" style="1" customWidth="1"/>
    <col min="9988" max="9988" width="11.5703125" style="1" bestFit="1" customWidth="1"/>
    <col min="9989" max="9989" width="10.7109375" style="1" bestFit="1" customWidth="1"/>
    <col min="9990" max="9990" width="13.140625" style="1" bestFit="1" customWidth="1"/>
    <col min="9991" max="9991" width="13.85546875" style="1" bestFit="1" customWidth="1"/>
    <col min="9992" max="9992" width="11.140625" style="1" customWidth="1"/>
    <col min="9993" max="9993" width="14" style="1" customWidth="1"/>
    <col min="9994" max="9994" width="13.42578125" style="1" customWidth="1"/>
    <col min="9995" max="9996" width="10.7109375" style="1" bestFit="1" customWidth="1"/>
    <col min="9997" max="9997" width="2.28515625" style="1" customWidth="1"/>
    <col min="9998" max="9999" width="8.7109375" style="1"/>
    <col min="10000" max="10000" width="18.28515625" style="1" customWidth="1"/>
    <col min="10001" max="10241" width="8.7109375" style="1"/>
    <col min="10242" max="10242" width="10.85546875" style="1" customWidth="1"/>
    <col min="10243" max="10243" width="11.28515625" style="1" customWidth="1"/>
    <col min="10244" max="10244" width="11.5703125" style="1" bestFit="1" customWidth="1"/>
    <col min="10245" max="10245" width="10.7109375" style="1" bestFit="1" customWidth="1"/>
    <col min="10246" max="10246" width="13.140625" style="1" bestFit="1" customWidth="1"/>
    <col min="10247" max="10247" width="13.85546875" style="1" bestFit="1" customWidth="1"/>
    <col min="10248" max="10248" width="11.140625" style="1" customWidth="1"/>
    <col min="10249" max="10249" width="14" style="1" customWidth="1"/>
    <col min="10250" max="10250" width="13.42578125" style="1" customWidth="1"/>
    <col min="10251" max="10252" width="10.7109375" style="1" bestFit="1" customWidth="1"/>
    <col min="10253" max="10253" width="2.28515625" style="1" customWidth="1"/>
    <col min="10254" max="10255" width="8.7109375" style="1"/>
    <col min="10256" max="10256" width="18.28515625" style="1" customWidth="1"/>
    <col min="10257" max="10497" width="8.7109375" style="1"/>
    <col min="10498" max="10498" width="10.85546875" style="1" customWidth="1"/>
    <col min="10499" max="10499" width="11.28515625" style="1" customWidth="1"/>
    <col min="10500" max="10500" width="11.5703125" style="1" bestFit="1" customWidth="1"/>
    <col min="10501" max="10501" width="10.7109375" style="1" bestFit="1" customWidth="1"/>
    <col min="10502" max="10502" width="13.140625" style="1" bestFit="1" customWidth="1"/>
    <col min="10503" max="10503" width="13.85546875" style="1" bestFit="1" customWidth="1"/>
    <col min="10504" max="10504" width="11.140625" style="1" customWidth="1"/>
    <col min="10505" max="10505" width="14" style="1" customWidth="1"/>
    <col min="10506" max="10506" width="13.42578125" style="1" customWidth="1"/>
    <col min="10507" max="10508" width="10.7109375" style="1" bestFit="1" customWidth="1"/>
    <col min="10509" max="10509" width="2.28515625" style="1" customWidth="1"/>
    <col min="10510" max="10511" width="8.7109375" style="1"/>
    <col min="10512" max="10512" width="18.28515625" style="1" customWidth="1"/>
    <col min="10513" max="10753" width="8.7109375" style="1"/>
    <col min="10754" max="10754" width="10.85546875" style="1" customWidth="1"/>
    <col min="10755" max="10755" width="11.28515625" style="1" customWidth="1"/>
    <col min="10756" max="10756" width="11.5703125" style="1" bestFit="1" customWidth="1"/>
    <col min="10757" max="10757" width="10.7109375" style="1" bestFit="1" customWidth="1"/>
    <col min="10758" max="10758" width="13.140625" style="1" bestFit="1" customWidth="1"/>
    <col min="10759" max="10759" width="13.85546875" style="1" bestFit="1" customWidth="1"/>
    <col min="10760" max="10760" width="11.140625" style="1" customWidth="1"/>
    <col min="10761" max="10761" width="14" style="1" customWidth="1"/>
    <col min="10762" max="10762" width="13.42578125" style="1" customWidth="1"/>
    <col min="10763" max="10764" width="10.7109375" style="1" bestFit="1" customWidth="1"/>
    <col min="10765" max="10765" width="2.28515625" style="1" customWidth="1"/>
    <col min="10766" max="10767" width="8.7109375" style="1"/>
    <col min="10768" max="10768" width="18.28515625" style="1" customWidth="1"/>
    <col min="10769" max="11009" width="8.7109375" style="1"/>
    <col min="11010" max="11010" width="10.85546875" style="1" customWidth="1"/>
    <col min="11011" max="11011" width="11.28515625" style="1" customWidth="1"/>
    <col min="11012" max="11012" width="11.5703125" style="1" bestFit="1" customWidth="1"/>
    <col min="11013" max="11013" width="10.7109375" style="1" bestFit="1" customWidth="1"/>
    <col min="11014" max="11014" width="13.140625" style="1" bestFit="1" customWidth="1"/>
    <col min="11015" max="11015" width="13.85546875" style="1" bestFit="1" customWidth="1"/>
    <col min="11016" max="11016" width="11.140625" style="1" customWidth="1"/>
    <col min="11017" max="11017" width="14" style="1" customWidth="1"/>
    <col min="11018" max="11018" width="13.42578125" style="1" customWidth="1"/>
    <col min="11019" max="11020" width="10.7109375" style="1" bestFit="1" customWidth="1"/>
    <col min="11021" max="11021" width="2.28515625" style="1" customWidth="1"/>
    <col min="11022" max="11023" width="8.7109375" style="1"/>
    <col min="11024" max="11024" width="18.28515625" style="1" customWidth="1"/>
    <col min="11025" max="11265" width="8.7109375" style="1"/>
    <col min="11266" max="11266" width="10.85546875" style="1" customWidth="1"/>
    <col min="11267" max="11267" width="11.28515625" style="1" customWidth="1"/>
    <col min="11268" max="11268" width="11.5703125" style="1" bestFit="1" customWidth="1"/>
    <col min="11269" max="11269" width="10.7109375" style="1" bestFit="1" customWidth="1"/>
    <col min="11270" max="11270" width="13.140625" style="1" bestFit="1" customWidth="1"/>
    <col min="11271" max="11271" width="13.85546875" style="1" bestFit="1" customWidth="1"/>
    <col min="11272" max="11272" width="11.140625" style="1" customWidth="1"/>
    <col min="11273" max="11273" width="14" style="1" customWidth="1"/>
    <col min="11274" max="11274" width="13.42578125" style="1" customWidth="1"/>
    <col min="11275" max="11276" width="10.7109375" style="1" bestFit="1" customWidth="1"/>
    <col min="11277" max="11277" width="2.28515625" style="1" customWidth="1"/>
    <col min="11278" max="11279" width="8.7109375" style="1"/>
    <col min="11280" max="11280" width="18.28515625" style="1" customWidth="1"/>
    <col min="11281" max="11521" width="8.7109375" style="1"/>
    <col min="11522" max="11522" width="10.85546875" style="1" customWidth="1"/>
    <col min="11523" max="11523" width="11.28515625" style="1" customWidth="1"/>
    <col min="11524" max="11524" width="11.5703125" style="1" bestFit="1" customWidth="1"/>
    <col min="11525" max="11525" width="10.7109375" style="1" bestFit="1" customWidth="1"/>
    <col min="11526" max="11526" width="13.140625" style="1" bestFit="1" customWidth="1"/>
    <col min="11527" max="11527" width="13.85546875" style="1" bestFit="1" customWidth="1"/>
    <col min="11528" max="11528" width="11.140625" style="1" customWidth="1"/>
    <col min="11529" max="11529" width="14" style="1" customWidth="1"/>
    <col min="11530" max="11530" width="13.42578125" style="1" customWidth="1"/>
    <col min="11531" max="11532" width="10.7109375" style="1" bestFit="1" customWidth="1"/>
    <col min="11533" max="11533" width="2.28515625" style="1" customWidth="1"/>
    <col min="11534" max="11535" width="8.7109375" style="1"/>
    <col min="11536" max="11536" width="18.28515625" style="1" customWidth="1"/>
    <col min="11537" max="11777" width="8.7109375" style="1"/>
    <col min="11778" max="11778" width="10.85546875" style="1" customWidth="1"/>
    <col min="11779" max="11779" width="11.28515625" style="1" customWidth="1"/>
    <col min="11780" max="11780" width="11.5703125" style="1" bestFit="1" customWidth="1"/>
    <col min="11781" max="11781" width="10.7109375" style="1" bestFit="1" customWidth="1"/>
    <col min="11782" max="11782" width="13.140625" style="1" bestFit="1" customWidth="1"/>
    <col min="11783" max="11783" width="13.85546875" style="1" bestFit="1" customWidth="1"/>
    <col min="11784" max="11784" width="11.140625" style="1" customWidth="1"/>
    <col min="11785" max="11785" width="14" style="1" customWidth="1"/>
    <col min="11786" max="11786" width="13.42578125" style="1" customWidth="1"/>
    <col min="11787" max="11788" width="10.7109375" style="1" bestFit="1" customWidth="1"/>
    <col min="11789" max="11789" width="2.28515625" style="1" customWidth="1"/>
    <col min="11790" max="11791" width="8.7109375" style="1"/>
    <col min="11792" max="11792" width="18.28515625" style="1" customWidth="1"/>
    <col min="11793" max="12033" width="8.7109375" style="1"/>
    <col min="12034" max="12034" width="10.85546875" style="1" customWidth="1"/>
    <col min="12035" max="12035" width="11.28515625" style="1" customWidth="1"/>
    <col min="12036" max="12036" width="11.5703125" style="1" bestFit="1" customWidth="1"/>
    <col min="12037" max="12037" width="10.7109375" style="1" bestFit="1" customWidth="1"/>
    <col min="12038" max="12038" width="13.140625" style="1" bestFit="1" customWidth="1"/>
    <col min="12039" max="12039" width="13.85546875" style="1" bestFit="1" customWidth="1"/>
    <col min="12040" max="12040" width="11.140625" style="1" customWidth="1"/>
    <col min="12041" max="12041" width="14" style="1" customWidth="1"/>
    <col min="12042" max="12042" width="13.42578125" style="1" customWidth="1"/>
    <col min="12043" max="12044" width="10.7109375" style="1" bestFit="1" customWidth="1"/>
    <col min="12045" max="12045" width="2.28515625" style="1" customWidth="1"/>
    <col min="12046" max="12047" width="8.7109375" style="1"/>
    <col min="12048" max="12048" width="18.28515625" style="1" customWidth="1"/>
    <col min="12049" max="12289" width="8.7109375" style="1"/>
    <col min="12290" max="12290" width="10.85546875" style="1" customWidth="1"/>
    <col min="12291" max="12291" width="11.28515625" style="1" customWidth="1"/>
    <col min="12292" max="12292" width="11.5703125" style="1" bestFit="1" customWidth="1"/>
    <col min="12293" max="12293" width="10.7109375" style="1" bestFit="1" customWidth="1"/>
    <col min="12294" max="12294" width="13.140625" style="1" bestFit="1" customWidth="1"/>
    <col min="12295" max="12295" width="13.85546875" style="1" bestFit="1" customWidth="1"/>
    <col min="12296" max="12296" width="11.140625" style="1" customWidth="1"/>
    <col min="12297" max="12297" width="14" style="1" customWidth="1"/>
    <col min="12298" max="12298" width="13.42578125" style="1" customWidth="1"/>
    <col min="12299" max="12300" width="10.7109375" style="1" bestFit="1" customWidth="1"/>
    <col min="12301" max="12301" width="2.28515625" style="1" customWidth="1"/>
    <col min="12302" max="12303" width="8.7109375" style="1"/>
    <col min="12304" max="12304" width="18.28515625" style="1" customWidth="1"/>
    <col min="12305" max="12545" width="8.7109375" style="1"/>
    <col min="12546" max="12546" width="10.85546875" style="1" customWidth="1"/>
    <col min="12547" max="12547" width="11.28515625" style="1" customWidth="1"/>
    <col min="12548" max="12548" width="11.5703125" style="1" bestFit="1" customWidth="1"/>
    <col min="12549" max="12549" width="10.7109375" style="1" bestFit="1" customWidth="1"/>
    <col min="12550" max="12550" width="13.140625" style="1" bestFit="1" customWidth="1"/>
    <col min="12551" max="12551" width="13.85546875" style="1" bestFit="1" customWidth="1"/>
    <col min="12552" max="12552" width="11.140625" style="1" customWidth="1"/>
    <col min="12553" max="12553" width="14" style="1" customWidth="1"/>
    <col min="12554" max="12554" width="13.42578125" style="1" customWidth="1"/>
    <col min="12555" max="12556" width="10.7109375" style="1" bestFit="1" customWidth="1"/>
    <col min="12557" max="12557" width="2.28515625" style="1" customWidth="1"/>
    <col min="12558" max="12559" width="8.7109375" style="1"/>
    <col min="12560" max="12560" width="18.28515625" style="1" customWidth="1"/>
    <col min="12561" max="12801" width="8.7109375" style="1"/>
    <col min="12802" max="12802" width="10.85546875" style="1" customWidth="1"/>
    <col min="12803" max="12803" width="11.28515625" style="1" customWidth="1"/>
    <col min="12804" max="12804" width="11.5703125" style="1" bestFit="1" customWidth="1"/>
    <col min="12805" max="12805" width="10.7109375" style="1" bestFit="1" customWidth="1"/>
    <col min="12806" max="12806" width="13.140625" style="1" bestFit="1" customWidth="1"/>
    <col min="12807" max="12807" width="13.85546875" style="1" bestFit="1" customWidth="1"/>
    <col min="12808" max="12808" width="11.140625" style="1" customWidth="1"/>
    <col min="12809" max="12809" width="14" style="1" customWidth="1"/>
    <col min="12810" max="12810" width="13.42578125" style="1" customWidth="1"/>
    <col min="12811" max="12812" width="10.7109375" style="1" bestFit="1" customWidth="1"/>
    <col min="12813" max="12813" width="2.28515625" style="1" customWidth="1"/>
    <col min="12814" max="12815" width="8.7109375" style="1"/>
    <col min="12816" max="12816" width="18.28515625" style="1" customWidth="1"/>
    <col min="12817" max="13057" width="8.7109375" style="1"/>
    <col min="13058" max="13058" width="10.85546875" style="1" customWidth="1"/>
    <col min="13059" max="13059" width="11.28515625" style="1" customWidth="1"/>
    <col min="13060" max="13060" width="11.5703125" style="1" bestFit="1" customWidth="1"/>
    <col min="13061" max="13061" width="10.7109375" style="1" bestFit="1" customWidth="1"/>
    <col min="13062" max="13062" width="13.140625" style="1" bestFit="1" customWidth="1"/>
    <col min="13063" max="13063" width="13.85546875" style="1" bestFit="1" customWidth="1"/>
    <col min="13064" max="13064" width="11.140625" style="1" customWidth="1"/>
    <col min="13065" max="13065" width="14" style="1" customWidth="1"/>
    <col min="13066" max="13066" width="13.42578125" style="1" customWidth="1"/>
    <col min="13067" max="13068" width="10.7109375" style="1" bestFit="1" customWidth="1"/>
    <col min="13069" max="13069" width="2.28515625" style="1" customWidth="1"/>
    <col min="13070" max="13071" width="8.7109375" style="1"/>
    <col min="13072" max="13072" width="18.28515625" style="1" customWidth="1"/>
    <col min="13073" max="13313" width="8.7109375" style="1"/>
    <col min="13314" max="13314" width="10.85546875" style="1" customWidth="1"/>
    <col min="13315" max="13315" width="11.28515625" style="1" customWidth="1"/>
    <col min="13316" max="13316" width="11.5703125" style="1" bestFit="1" customWidth="1"/>
    <col min="13317" max="13317" width="10.7109375" style="1" bestFit="1" customWidth="1"/>
    <col min="13318" max="13318" width="13.140625" style="1" bestFit="1" customWidth="1"/>
    <col min="13319" max="13319" width="13.85546875" style="1" bestFit="1" customWidth="1"/>
    <col min="13320" max="13320" width="11.140625" style="1" customWidth="1"/>
    <col min="13321" max="13321" width="14" style="1" customWidth="1"/>
    <col min="13322" max="13322" width="13.42578125" style="1" customWidth="1"/>
    <col min="13323" max="13324" width="10.7109375" style="1" bestFit="1" customWidth="1"/>
    <col min="13325" max="13325" width="2.28515625" style="1" customWidth="1"/>
    <col min="13326" max="13327" width="8.7109375" style="1"/>
    <col min="13328" max="13328" width="18.28515625" style="1" customWidth="1"/>
    <col min="13329" max="13569" width="8.7109375" style="1"/>
    <col min="13570" max="13570" width="10.85546875" style="1" customWidth="1"/>
    <col min="13571" max="13571" width="11.28515625" style="1" customWidth="1"/>
    <col min="13572" max="13572" width="11.5703125" style="1" bestFit="1" customWidth="1"/>
    <col min="13573" max="13573" width="10.7109375" style="1" bestFit="1" customWidth="1"/>
    <col min="13574" max="13574" width="13.140625" style="1" bestFit="1" customWidth="1"/>
    <col min="13575" max="13575" width="13.85546875" style="1" bestFit="1" customWidth="1"/>
    <col min="13576" max="13576" width="11.140625" style="1" customWidth="1"/>
    <col min="13577" max="13577" width="14" style="1" customWidth="1"/>
    <col min="13578" max="13578" width="13.42578125" style="1" customWidth="1"/>
    <col min="13579" max="13580" width="10.7109375" style="1" bestFit="1" customWidth="1"/>
    <col min="13581" max="13581" width="2.28515625" style="1" customWidth="1"/>
    <col min="13582" max="13583" width="8.7109375" style="1"/>
    <col min="13584" max="13584" width="18.28515625" style="1" customWidth="1"/>
    <col min="13585" max="13825" width="8.7109375" style="1"/>
    <col min="13826" max="13826" width="10.85546875" style="1" customWidth="1"/>
    <col min="13827" max="13827" width="11.28515625" style="1" customWidth="1"/>
    <col min="13828" max="13828" width="11.5703125" style="1" bestFit="1" customWidth="1"/>
    <col min="13829" max="13829" width="10.7109375" style="1" bestFit="1" customWidth="1"/>
    <col min="13830" max="13830" width="13.140625" style="1" bestFit="1" customWidth="1"/>
    <col min="13831" max="13831" width="13.85546875" style="1" bestFit="1" customWidth="1"/>
    <col min="13832" max="13832" width="11.140625" style="1" customWidth="1"/>
    <col min="13833" max="13833" width="14" style="1" customWidth="1"/>
    <col min="13834" max="13834" width="13.42578125" style="1" customWidth="1"/>
    <col min="13835" max="13836" width="10.7109375" style="1" bestFit="1" customWidth="1"/>
    <col min="13837" max="13837" width="2.28515625" style="1" customWidth="1"/>
    <col min="13838" max="13839" width="8.7109375" style="1"/>
    <col min="13840" max="13840" width="18.28515625" style="1" customWidth="1"/>
    <col min="13841" max="14081" width="8.7109375" style="1"/>
    <col min="14082" max="14082" width="10.85546875" style="1" customWidth="1"/>
    <col min="14083" max="14083" width="11.28515625" style="1" customWidth="1"/>
    <col min="14084" max="14084" width="11.5703125" style="1" bestFit="1" customWidth="1"/>
    <col min="14085" max="14085" width="10.7109375" style="1" bestFit="1" customWidth="1"/>
    <col min="14086" max="14086" width="13.140625" style="1" bestFit="1" customWidth="1"/>
    <col min="14087" max="14087" width="13.85546875" style="1" bestFit="1" customWidth="1"/>
    <col min="14088" max="14088" width="11.140625" style="1" customWidth="1"/>
    <col min="14089" max="14089" width="14" style="1" customWidth="1"/>
    <col min="14090" max="14090" width="13.42578125" style="1" customWidth="1"/>
    <col min="14091" max="14092" width="10.7109375" style="1" bestFit="1" customWidth="1"/>
    <col min="14093" max="14093" width="2.28515625" style="1" customWidth="1"/>
    <col min="14094" max="14095" width="8.7109375" style="1"/>
    <col min="14096" max="14096" width="18.28515625" style="1" customWidth="1"/>
    <col min="14097" max="14337" width="8.7109375" style="1"/>
    <col min="14338" max="14338" width="10.85546875" style="1" customWidth="1"/>
    <col min="14339" max="14339" width="11.28515625" style="1" customWidth="1"/>
    <col min="14340" max="14340" width="11.5703125" style="1" bestFit="1" customWidth="1"/>
    <col min="14341" max="14341" width="10.7109375" style="1" bestFit="1" customWidth="1"/>
    <col min="14342" max="14342" width="13.140625" style="1" bestFit="1" customWidth="1"/>
    <col min="14343" max="14343" width="13.85546875" style="1" bestFit="1" customWidth="1"/>
    <col min="14344" max="14344" width="11.140625" style="1" customWidth="1"/>
    <col min="14345" max="14345" width="14" style="1" customWidth="1"/>
    <col min="14346" max="14346" width="13.42578125" style="1" customWidth="1"/>
    <col min="14347" max="14348" width="10.7109375" style="1" bestFit="1" customWidth="1"/>
    <col min="14349" max="14349" width="2.28515625" style="1" customWidth="1"/>
    <col min="14350" max="14351" width="8.7109375" style="1"/>
    <col min="14352" max="14352" width="18.28515625" style="1" customWidth="1"/>
    <col min="14353" max="14593" width="8.7109375" style="1"/>
    <col min="14594" max="14594" width="10.85546875" style="1" customWidth="1"/>
    <col min="14595" max="14595" width="11.28515625" style="1" customWidth="1"/>
    <col min="14596" max="14596" width="11.5703125" style="1" bestFit="1" customWidth="1"/>
    <col min="14597" max="14597" width="10.7109375" style="1" bestFit="1" customWidth="1"/>
    <col min="14598" max="14598" width="13.140625" style="1" bestFit="1" customWidth="1"/>
    <col min="14599" max="14599" width="13.85546875" style="1" bestFit="1" customWidth="1"/>
    <col min="14600" max="14600" width="11.140625" style="1" customWidth="1"/>
    <col min="14601" max="14601" width="14" style="1" customWidth="1"/>
    <col min="14602" max="14602" width="13.42578125" style="1" customWidth="1"/>
    <col min="14603" max="14604" width="10.7109375" style="1" bestFit="1" customWidth="1"/>
    <col min="14605" max="14605" width="2.28515625" style="1" customWidth="1"/>
    <col min="14606" max="14607" width="8.7109375" style="1"/>
    <col min="14608" max="14608" width="18.28515625" style="1" customWidth="1"/>
    <col min="14609" max="14849" width="8.7109375" style="1"/>
    <col min="14850" max="14850" width="10.85546875" style="1" customWidth="1"/>
    <col min="14851" max="14851" width="11.28515625" style="1" customWidth="1"/>
    <col min="14852" max="14852" width="11.5703125" style="1" bestFit="1" customWidth="1"/>
    <col min="14853" max="14853" width="10.7109375" style="1" bestFit="1" customWidth="1"/>
    <col min="14854" max="14854" width="13.140625" style="1" bestFit="1" customWidth="1"/>
    <col min="14855" max="14855" width="13.85546875" style="1" bestFit="1" customWidth="1"/>
    <col min="14856" max="14856" width="11.140625" style="1" customWidth="1"/>
    <col min="14857" max="14857" width="14" style="1" customWidth="1"/>
    <col min="14858" max="14858" width="13.42578125" style="1" customWidth="1"/>
    <col min="14859" max="14860" width="10.7109375" style="1" bestFit="1" customWidth="1"/>
    <col min="14861" max="14861" width="2.28515625" style="1" customWidth="1"/>
    <col min="14862" max="14863" width="8.7109375" style="1"/>
    <col min="14864" max="14864" width="18.28515625" style="1" customWidth="1"/>
    <col min="14865" max="15105" width="8.7109375" style="1"/>
    <col min="15106" max="15106" width="10.85546875" style="1" customWidth="1"/>
    <col min="15107" max="15107" width="11.28515625" style="1" customWidth="1"/>
    <col min="15108" max="15108" width="11.5703125" style="1" bestFit="1" customWidth="1"/>
    <col min="15109" max="15109" width="10.7109375" style="1" bestFit="1" customWidth="1"/>
    <col min="15110" max="15110" width="13.140625" style="1" bestFit="1" customWidth="1"/>
    <col min="15111" max="15111" width="13.85546875" style="1" bestFit="1" customWidth="1"/>
    <col min="15112" max="15112" width="11.140625" style="1" customWidth="1"/>
    <col min="15113" max="15113" width="14" style="1" customWidth="1"/>
    <col min="15114" max="15114" width="13.42578125" style="1" customWidth="1"/>
    <col min="15115" max="15116" width="10.7109375" style="1" bestFit="1" customWidth="1"/>
    <col min="15117" max="15117" width="2.28515625" style="1" customWidth="1"/>
    <col min="15118" max="15119" width="8.7109375" style="1"/>
    <col min="15120" max="15120" width="18.28515625" style="1" customWidth="1"/>
    <col min="15121" max="15361" width="8.7109375" style="1"/>
    <col min="15362" max="15362" width="10.85546875" style="1" customWidth="1"/>
    <col min="15363" max="15363" width="11.28515625" style="1" customWidth="1"/>
    <col min="15364" max="15364" width="11.5703125" style="1" bestFit="1" customWidth="1"/>
    <col min="15365" max="15365" width="10.7109375" style="1" bestFit="1" customWidth="1"/>
    <col min="15366" max="15366" width="13.140625" style="1" bestFit="1" customWidth="1"/>
    <col min="15367" max="15367" width="13.85546875" style="1" bestFit="1" customWidth="1"/>
    <col min="15368" max="15368" width="11.140625" style="1" customWidth="1"/>
    <col min="15369" max="15369" width="14" style="1" customWidth="1"/>
    <col min="15370" max="15370" width="13.42578125" style="1" customWidth="1"/>
    <col min="15371" max="15372" width="10.7109375" style="1" bestFit="1" customWidth="1"/>
    <col min="15373" max="15373" width="2.28515625" style="1" customWidth="1"/>
    <col min="15374" max="15375" width="8.7109375" style="1"/>
    <col min="15376" max="15376" width="18.28515625" style="1" customWidth="1"/>
    <col min="15377" max="15617" width="8.7109375" style="1"/>
    <col min="15618" max="15618" width="10.85546875" style="1" customWidth="1"/>
    <col min="15619" max="15619" width="11.28515625" style="1" customWidth="1"/>
    <col min="15620" max="15620" width="11.5703125" style="1" bestFit="1" customWidth="1"/>
    <col min="15621" max="15621" width="10.7109375" style="1" bestFit="1" customWidth="1"/>
    <col min="15622" max="15622" width="13.140625" style="1" bestFit="1" customWidth="1"/>
    <col min="15623" max="15623" width="13.85546875" style="1" bestFit="1" customWidth="1"/>
    <col min="15624" max="15624" width="11.140625" style="1" customWidth="1"/>
    <col min="15625" max="15625" width="14" style="1" customWidth="1"/>
    <col min="15626" max="15626" width="13.42578125" style="1" customWidth="1"/>
    <col min="15627" max="15628" width="10.7109375" style="1" bestFit="1" customWidth="1"/>
    <col min="15629" max="15629" width="2.28515625" style="1" customWidth="1"/>
    <col min="15630" max="15631" width="8.7109375" style="1"/>
    <col min="15632" max="15632" width="18.28515625" style="1" customWidth="1"/>
    <col min="15633" max="15873" width="8.7109375" style="1"/>
    <col min="15874" max="15874" width="10.85546875" style="1" customWidth="1"/>
    <col min="15875" max="15875" width="11.28515625" style="1" customWidth="1"/>
    <col min="15876" max="15876" width="11.5703125" style="1" bestFit="1" customWidth="1"/>
    <col min="15877" max="15877" width="10.7109375" style="1" bestFit="1" customWidth="1"/>
    <col min="15878" max="15878" width="13.140625" style="1" bestFit="1" customWidth="1"/>
    <col min="15879" max="15879" width="13.85546875" style="1" bestFit="1" customWidth="1"/>
    <col min="15880" max="15880" width="11.140625" style="1" customWidth="1"/>
    <col min="15881" max="15881" width="14" style="1" customWidth="1"/>
    <col min="15882" max="15882" width="13.42578125" style="1" customWidth="1"/>
    <col min="15883" max="15884" width="10.7109375" style="1" bestFit="1" customWidth="1"/>
    <col min="15885" max="15885" width="2.28515625" style="1" customWidth="1"/>
    <col min="15886" max="15887" width="8.7109375" style="1"/>
    <col min="15888" max="15888" width="18.28515625" style="1" customWidth="1"/>
    <col min="15889" max="16129" width="8.7109375" style="1"/>
    <col min="16130" max="16130" width="10.85546875" style="1" customWidth="1"/>
    <col min="16131" max="16131" width="11.28515625" style="1" customWidth="1"/>
    <col min="16132" max="16132" width="11.5703125" style="1" bestFit="1" customWidth="1"/>
    <col min="16133" max="16133" width="10.7109375" style="1" bestFit="1" customWidth="1"/>
    <col min="16134" max="16134" width="13.140625" style="1" bestFit="1" customWidth="1"/>
    <col min="16135" max="16135" width="13.85546875" style="1" bestFit="1" customWidth="1"/>
    <col min="16136" max="16136" width="11.140625" style="1" customWidth="1"/>
    <col min="16137" max="16137" width="14" style="1" customWidth="1"/>
    <col min="16138" max="16138" width="13.42578125" style="1" customWidth="1"/>
    <col min="16139" max="16140" width="10.7109375" style="1" bestFit="1" customWidth="1"/>
    <col min="16141" max="16141" width="2.28515625" style="1" customWidth="1"/>
    <col min="16142" max="16143" width="8.7109375" style="1"/>
    <col min="16144" max="16144" width="18.28515625" style="1" customWidth="1"/>
    <col min="16145" max="16384" width="8.7109375" style="1"/>
  </cols>
  <sheetData>
    <row r="1" spans="1:16" s="34" customFormat="1" ht="29.1">
      <c r="A1" s="33" t="s">
        <v>287</v>
      </c>
      <c r="B1" s="33" t="s">
        <v>288</v>
      </c>
      <c r="C1" s="33" t="s">
        <v>289</v>
      </c>
      <c r="D1" s="33" t="s">
        <v>290</v>
      </c>
      <c r="E1" s="33" t="s">
        <v>291</v>
      </c>
      <c r="F1" s="33" t="s">
        <v>292</v>
      </c>
      <c r="G1" s="33" t="s">
        <v>293</v>
      </c>
      <c r="H1" s="33" t="s">
        <v>294</v>
      </c>
      <c r="I1" s="33" t="s">
        <v>295</v>
      </c>
      <c r="J1" s="33" t="s">
        <v>296</v>
      </c>
      <c r="K1" s="33"/>
      <c r="M1"/>
      <c r="N1"/>
      <c r="O1"/>
      <c r="P1"/>
    </row>
    <row r="2" spans="1:16">
      <c r="A2" s="30">
        <v>45790</v>
      </c>
      <c r="B2" s="35">
        <f t="shared" ref="B2:B20" si="0">F2*25</f>
        <v>100</v>
      </c>
      <c r="C2" s="1" t="s">
        <v>297</v>
      </c>
      <c r="D2" s="152" t="s">
        <v>298</v>
      </c>
      <c r="E2" s="1" t="s">
        <v>299</v>
      </c>
      <c r="F2" s="36">
        <v>4</v>
      </c>
      <c r="G2" s="35">
        <v>55</v>
      </c>
      <c r="H2" s="36">
        <v>0</v>
      </c>
      <c r="I2" s="36" t="s">
        <v>105</v>
      </c>
      <c r="J2" s="36" t="s">
        <v>104</v>
      </c>
      <c r="K2" s="36"/>
    </row>
    <row r="3" spans="1:16">
      <c r="A3" s="30">
        <v>45790</v>
      </c>
      <c r="B3" s="35">
        <f t="shared" si="0"/>
        <v>150</v>
      </c>
      <c r="C3" s="1" t="s">
        <v>300</v>
      </c>
      <c r="D3" s="1" t="s">
        <v>301</v>
      </c>
      <c r="E3" s="1" t="s">
        <v>302</v>
      </c>
      <c r="F3" s="36">
        <v>6</v>
      </c>
      <c r="G3" s="35">
        <v>80</v>
      </c>
      <c r="H3" s="36">
        <v>2</v>
      </c>
      <c r="I3" s="36" t="s">
        <v>104</v>
      </c>
      <c r="J3" s="36" t="s">
        <v>104</v>
      </c>
      <c r="K3" s="36"/>
      <c r="L3" s="37"/>
      <c r="M3" s="37"/>
      <c r="N3" s="37" t="s">
        <v>146</v>
      </c>
    </row>
    <row r="4" spans="1:16">
      <c r="A4" s="30">
        <v>45791</v>
      </c>
      <c r="B4" s="35">
        <f t="shared" si="0"/>
        <v>125</v>
      </c>
      <c r="C4" s="1" t="s">
        <v>303</v>
      </c>
      <c r="D4" s="1" t="s">
        <v>304</v>
      </c>
      <c r="E4" s="1" t="s">
        <v>302</v>
      </c>
      <c r="F4" s="36">
        <v>5</v>
      </c>
      <c r="G4" s="35">
        <v>65</v>
      </c>
      <c r="H4" s="36">
        <v>1</v>
      </c>
      <c r="I4" s="36" t="s">
        <v>105</v>
      </c>
      <c r="J4" s="36" t="s">
        <v>104</v>
      </c>
      <c r="K4" s="36"/>
      <c r="L4" s="38">
        <v>1</v>
      </c>
      <c r="M4" s="39"/>
      <c r="N4" s="40"/>
    </row>
    <row r="5" spans="1:16">
      <c r="A5" s="30">
        <v>45792</v>
      </c>
      <c r="B5" s="35">
        <f t="shared" si="0"/>
        <v>100</v>
      </c>
      <c r="C5" s="1" t="s">
        <v>305</v>
      </c>
      <c r="D5" s="1" t="s">
        <v>306</v>
      </c>
      <c r="E5" s="1" t="s">
        <v>299</v>
      </c>
      <c r="F5" s="36">
        <v>4</v>
      </c>
      <c r="G5" s="35">
        <v>45</v>
      </c>
      <c r="H5" s="36">
        <v>1</v>
      </c>
      <c r="I5" s="36" t="s">
        <v>104</v>
      </c>
      <c r="J5" s="36" t="s">
        <v>104</v>
      </c>
      <c r="K5" s="36"/>
      <c r="L5" s="38">
        <v>2</v>
      </c>
      <c r="M5" s="39"/>
      <c r="N5" s="40"/>
    </row>
    <row r="6" spans="1:16">
      <c r="A6" s="30">
        <v>45793</v>
      </c>
      <c r="B6" s="35">
        <f t="shared" si="0"/>
        <v>100</v>
      </c>
      <c r="C6" s="1" t="s">
        <v>307</v>
      </c>
      <c r="D6" s="1" t="s">
        <v>308</v>
      </c>
      <c r="E6" s="1" t="s">
        <v>309</v>
      </c>
      <c r="F6" s="36">
        <v>4</v>
      </c>
      <c r="G6" s="35">
        <v>60</v>
      </c>
      <c r="H6" s="36">
        <v>1</v>
      </c>
      <c r="I6" s="36" t="s">
        <v>105</v>
      </c>
      <c r="J6" s="36" t="s">
        <v>104</v>
      </c>
      <c r="K6" s="36"/>
      <c r="L6" s="38">
        <v>3</v>
      </c>
      <c r="M6" s="39"/>
      <c r="N6" s="40"/>
    </row>
    <row r="7" spans="1:16">
      <c r="A7" s="30">
        <v>45794</v>
      </c>
      <c r="B7" s="35">
        <f t="shared" si="0"/>
        <v>50</v>
      </c>
      <c r="C7" s="1" t="s">
        <v>310</v>
      </c>
      <c r="D7" s="1" t="s">
        <v>311</v>
      </c>
      <c r="E7" s="1" t="s">
        <v>309</v>
      </c>
      <c r="F7" s="36">
        <v>2</v>
      </c>
      <c r="G7" s="35" t="s">
        <v>37</v>
      </c>
      <c r="H7" s="36">
        <v>1</v>
      </c>
      <c r="I7" s="36" t="s">
        <v>105</v>
      </c>
      <c r="J7" s="36" t="s">
        <v>105</v>
      </c>
      <c r="K7" s="36"/>
      <c r="L7" s="38">
        <v>4</v>
      </c>
      <c r="M7" s="39"/>
      <c r="N7" s="40"/>
    </row>
    <row r="8" spans="1:16">
      <c r="A8" s="30">
        <v>45794</v>
      </c>
      <c r="B8" s="35">
        <f t="shared" si="0"/>
        <v>75</v>
      </c>
      <c r="C8" s="1" t="s">
        <v>312</v>
      </c>
      <c r="D8" s="1" t="s">
        <v>313</v>
      </c>
      <c r="E8" s="1" t="s">
        <v>190</v>
      </c>
      <c r="F8" s="36">
        <v>3</v>
      </c>
      <c r="G8" s="35" t="s">
        <v>37</v>
      </c>
      <c r="H8" s="36">
        <v>1</v>
      </c>
      <c r="I8" s="36" t="s">
        <v>105</v>
      </c>
      <c r="J8" s="36" t="s">
        <v>104</v>
      </c>
      <c r="K8" s="36"/>
      <c r="L8" s="38">
        <v>5</v>
      </c>
      <c r="M8" s="39"/>
      <c r="N8" s="40"/>
    </row>
    <row r="9" spans="1:16">
      <c r="A9" s="30">
        <v>45794</v>
      </c>
      <c r="B9" s="35">
        <f t="shared" si="0"/>
        <v>150</v>
      </c>
      <c r="C9" s="1" t="s">
        <v>314</v>
      </c>
      <c r="D9" s="1" t="s">
        <v>315</v>
      </c>
      <c r="E9" s="1" t="s">
        <v>299</v>
      </c>
      <c r="F9" s="36">
        <v>6</v>
      </c>
      <c r="G9" s="35" t="s">
        <v>37</v>
      </c>
      <c r="H9" s="36">
        <v>2</v>
      </c>
      <c r="I9" s="36" t="s">
        <v>105</v>
      </c>
      <c r="J9" s="36" t="s">
        <v>104</v>
      </c>
      <c r="K9" s="36"/>
      <c r="L9" s="38">
        <v>6</v>
      </c>
      <c r="M9" s="39"/>
      <c r="N9" s="40"/>
    </row>
    <row r="10" spans="1:16">
      <c r="A10" s="30">
        <v>45794</v>
      </c>
      <c r="B10" s="35">
        <f t="shared" si="0"/>
        <v>100</v>
      </c>
      <c r="C10" s="1" t="s">
        <v>316</v>
      </c>
      <c r="D10" s="1" t="s">
        <v>317</v>
      </c>
      <c r="E10" s="1" t="s">
        <v>190</v>
      </c>
      <c r="F10" s="36">
        <v>4</v>
      </c>
      <c r="G10" s="35">
        <v>150</v>
      </c>
      <c r="H10" s="36">
        <v>2</v>
      </c>
      <c r="I10" s="36" t="s">
        <v>104</v>
      </c>
      <c r="J10" s="36" t="s">
        <v>104</v>
      </c>
      <c r="K10" s="36"/>
      <c r="L10" s="38">
        <v>7</v>
      </c>
      <c r="M10" s="39"/>
      <c r="N10" s="40"/>
    </row>
    <row r="11" spans="1:16">
      <c r="A11" s="30">
        <v>45794</v>
      </c>
      <c r="B11" s="35">
        <f t="shared" si="0"/>
        <v>50</v>
      </c>
      <c r="C11" s="1" t="s">
        <v>318</v>
      </c>
      <c r="D11" s="1" t="s">
        <v>319</v>
      </c>
      <c r="E11" s="1" t="s">
        <v>309</v>
      </c>
      <c r="F11" s="36">
        <v>2</v>
      </c>
      <c r="G11" s="35">
        <v>50</v>
      </c>
      <c r="H11" s="36">
        <v>0</v>
      </c>
      <c r="I11" s="36" t="s">
        <v>105</v>
      </c>
      <c r="J11" s="36" t="s">
        <v>104</v>
      </c>
      <c r="K11" s="36"/>
      <c r="L11" s="38">
        <v>8</v>
      </c>
      <c r="M11" s="39"/>
      <c r="N11" s="40"/>
    </row>
    <row r="12" spans="1:16">
      <c r="A12" s="30">
        <v>45795</v>
      </c>
      <c r="B12" s="35">
        <f t="shared" si="0"/>
        <v>25</v>
      </c>
      <c r="C12" s="1" t="s">
        <v>320</v>
      </c>
      <c r="D12" s="1" t="s">
        <v>321</v>
      </c>
      <c r="E12" s="1" t="s">
        <v>299</v>
      </c>
      <c r="F12" s="36">
        <v>1</v>
      </c>
      <c r="G12" s="35">
        <v>45</v>
      </c>
      <c r="H12" s="36">
        <v>0</v>
      </c>
      <c r="I12" s="36" t="s">
        <v>105</v>
      </c>
      <c r="J12" s="36" t="s">
        <v>104</v>
      </c>
      <c r="K12" s="36"/>
      <c r="L12" s="38">
        <v>9</v>
      </c>
      <c r="M12" s="39"/>
      <c r="N12" s="40"/>
    </row>
    <row r="13" spans="1:16">
      <c r="A13" s="30">
        <v>45796</v>
      </c>
      <c r="B13" s="35">
        <f t="shared" si="0"/>
        <v>125</v>
      </c>
      <c r="C13" s="1" t="s">
        <v>322</v>
      </c>
      <c r="D13" s="1" t="s">
        <v>323</v>
      </c>
      <c r="E13" s="1" t="s">
        <v>299</v>
      </c>
      <c r="F13" s="36">
        <v>5</v>
      </c>
      <c r="G13" s="35">
        <v>400</v>
      </c>
      <c r="H13" s="36">
        <v>3</v>
      </c>
      <c r="I13" s="36" t="s">
        <v>105</v>
      </c>
      <c r="J13" s="36" t="s">
        <v>104</v>
      </c>
      <c r="K13" s="36"/>
      <c r="L13" s="41">
        <v>10</v>
      </c>
      <c r="M13" s="42"/>
      <c r="N13" s="40"/>
    </row>
    <row r="14" spans="1:16">
      <c r="A14" s="30">
        <v>45797</v>
      </c>
      <c r="B14" s="35">
        <f t="shared" si="0"/>
        <v>50</v>
      </c>
      <c r="C14" s="1" t="s">
        <v>324</v>
      </c>
      <c r="D14" s="1" t="s">
        <v>325</v>
      </c>
      <c r="E14" s="1" t="s">
        <v>326</v>
      </c>
      <c r="F14" s="36">
        <v>2</v>
      </c>
      <c r="G14" s="35">
        <v>150</v>
      </c>
      <c r="H14" s="36">
        <v>0</v>
      </c>
      <c r="I14" s="36" t="s">
        <v>104</v>
      </c>
      <c r="J14" s="36" t="s">
        <v>104</v>
      </c>
      <c r="K14" s="36"/>
    </row>
    <row r="15" spans="1:16">
      <c r="A15" s="30">
        <v>45798</v>
      </c>
      <c r="B15" s="35">
        <f t="shared" si="0"/>
        <v>100</v>
      </c>
      <c r="C15" s="1" t="s">
        <v>327</v>
      </c>
      <c r="D15" s="1" t="s">
        <v>328</v>
      </c>
      <c r="E15" s="1" t="s">
        <v>326</v>
      </c>
      <c r="F15" s="36">
        <v>4</v>
      </c>
      <c r="G15" s="35" t="s">
        <v>37</v>
      </c>
      <c r="H15" s="36">
        <v>0</v>
      </c>
      <c r="I15" s="36" t="s">
        <v>105</v>
      </c>
      <c r="J15" s="36" t="s">
        <v>105</v>
      </c>
      <c r="K15" s="36"/>
    </row>
    <row r="16" spans="1:16">
      <c r="A16" s="30">
        <v>45799</v>
      </c>
      <c r="B16" s="35">
        <f t="shared" si="0"/>
        <v>50</v>
      </c>
      <c r="C16" s="1" t="s">
        <v>329</v>
      </c>
      <c r="D16" s="1" t="s">
        <v>330</v>
      </c>
      <c r="E16" s="1" t="s">
        <v>326</v>
      </c>
      <c r="F16" s="36">
        <v>2</v>
      </c>
      <c r="G16" s="35">
        <v>20</v>
      </c>
      <c r="H16" s="36">
        <v>0</v>
      </c>
      <c r="I16" s="36" t="s">
        <v>105</v>
      </c>
      <c r="J16" s="36" t="s">
        <v>105</v>
      </c>
      <c r="K16" s="36"/>
    </row>
    <row r="17" spans="1:11">
      <c r="A17" s="30">
        <v>45799</v>
      </c>
      <c r="B17" s="35">
        <f t="shared" si="0"/>
        <v>125</v>
      </c>
      <c r="C17" s="1" t="s">
        <v>331</v>
      </c>
      <c r="D17" s="1" t="s">
        <v>332</v>
      </c>
      <c r="E17" s="1" t="s">
        <v>333</v>
      </c>
      <c r="F17" s="36">
        <v>5</v>
      </c>
      <c r="G17" s="35">
        <v>15</v>
      </c>
      <c r="H17" s="36">
        <v>0</v>
      </c>
      <c r="I17" s="36" t="s">
        <v>104</v>
      </c>
      <c r="J17" s="36" t="s">
        <v>105</v>
      </c>
      <c r="K17" s="36"/>
    </row>
    <row r="18" spans="1:11">
      <c r="A18" s="30">
        <v>45799</v>
      </c>
      <c r="B18" s="35">
        <f t="shared" si="0"/>
        <v>150</v>
      </c>
      <c r="C18" s="1" t="s">
        <v>334</v>
      </c>
      <c r="D18" s="1" t="s">
        <v>335</v>
      </c>
      <c r="E18" s="1" t="s">
        <v>333</v>
      </c>
      <c r="F18" s="36">
        <v>6</v>
      </c>
      <c r="G18" s="35" t="s">
        <v>37</v>
      </c>
      <c r="H18" s="36">
        <v>2</v>
      </c>
      <c r="I18" s="36" t="s">
        <v>104</v>
      </c>
      <c r="J18" s="36" t="s">
        <v>105</v>
      </c>
      <c r="K18" s="36"/>
    </row>
    <row r="19" spans="1:11">
      <c r="A19" s="30">
        <v>45799</v>
      </c>
      <c r="B19" s="35">
        <f t="shared" si="0"/>
        <v>50</v>
      </c>
      <c r="C19" s="1" t="s">
        <v>336</v>
      </c>
      <c r="D19" s="1" t="s">
        <v>337</v>
      </c>
      <c r="E19" s="1" t="s">
        <v>299</v>
      </c>
      <c r="F19" s="36">
        <v>2</v>
      </c>
      <c r="G19" s="35" t="s">
        <v>37</v>
      </c>
      <c r="H19" s="36">
        <v>1</v>
      </c>
      <c r="I19" s="36" t="s">
        <v>104</v>
      </c>
      <c r="J19" s="36" t="s">
        <v>105</v>
      </c>
      <c r="K19" s="36"/>
    </row>
    <row r="20" spans="1:11">
      <c r="A20" s="30">
        <v>45800</v>
      </c>
      <c r="B20" s="35">
        <f t="shared" si="0"/>
        <v>25</v>
      </c>
      <c r="C20" s="1" t="s">
        <v>338</v>
      </c>
      <c r="D20" s="1" t="s">
        <v>339</v>
      </c>
      <c r="E20" s="1" t="s">
        <v>340</v>
      </c>
      <c r="F20" s="36">
        <v>1</v>
      </c>
      <c r="G20" s="35">
        <v>500</v>
      </c>
      <c r="H20" s="36">
        <v>0</v>
      </c>
      <c r="I20" s="36" t="s">
        <v>104</v>
      </c>
      <c r="J20" s="36" t="s">
        <v>105</v>
      </c>
      <c r="K20" s="36"/>
    </row>
    <row r="24" spans="1:11" s="43" customFormat="1">
      <c r="A24" s="164"/>
      <c r="B24" s="164"/>
      <c r="C24" s="164"/>
      <c r="D24" s="164"/>
      <c r="E24" s="164"/>
      <c r="F24" s="164"/>
    </row>
    <row r="25" spans="1:11" s="43" customFormat="1">
      <c r="A25" s="164"/>
      <c r="B25" s="164"/>
      <c r="C25" s="164"/>
      <c r="D25" s="164"/>
      <c r="E25" s="164"/>
      <c r="F25" s="164"/>
      <c r="J25" s="44"/>
    </row>
    <row r="26" spans="1:11" s="43" customFormat="1">
      <c r="A26" s="164"/>
      <c r="B26" s="164"/>
      <c r="C26" s="164"/>
      <c r="D26" s="164"/>
      <c r="E26" s="164"/>
      <c r="F26" s="164"/>
    </row>
    <row r="27" spans="1:11" s="43" customFormat="1">
      <c r="A27" s="164"/>
      <c r="B27" s="164"/>
      <c r="C27" s="164"/>
      <c r="D27" s="164"/>
      <c r="E27" s="164"/>
      <c r="F27" s="164"/>
      <c r="G27" s="45"/>
    </row>
    <row r="28" spans="1:11" s="43" customFormat="1">
      <c r="A28" s="164"/>
      <c r="B28" s="164"/>
      <c r="C28" s="164"/>
      <c r="D28" s="164"/>
      <c r="E28" s="164"/>
      <c r="F28" s="164"/>
    </row>
    <row r="29" spans="1:11" s="43" customFormat="1">
      <c r="A29" s="164"/>
      <c r="B29" s="164"/>
      <c r="C29" s="164"/>
      <c r="D29" s="164"/>
      <c r="E29" s="164"/>
      <c r="F29" s="164"/>
    </row>
    <row r="30" spans="1:11" s="43" customFormat="1">
      <c r="A30" s="164"/>
      <c r="B30" s="164"/>
      <c r="C30" s="164"/>
      <c r="D30" s="164"/>
      <c r="E30" s="164"/>
      <c r="F30" s="164"/>
    </row>
    <row r="31" spans="1:11" s="43" customFormat="1">
      <c r="A31" s="164"/>
      <c r="B31" s="164"/>
      <c r="C31" s="164"/>
      <c r="D31" s="164"/>
      <c r="E31" s="164"/>
      <c r="F31" s="164"/>
    </row>
    <row r="32" spans="1:11" s="43" customFormat="1">
      <c r="A32" s="164"/>
      <c r="B32" s="164"/>
      <c r="C32" s="164"/>
      <c r="D32" s="164"/>
      <c r="E32" s="164"/>
      <c r="F32" s="164"/>
    </row>
    <row r="33" spans="1:6" s="43" customFormat="1">
      <c r="A33" s="164"/>
      <c r="B33" s="164"/>
      <c r="C33" s="164"/>
      <c r="D33" s="164"/>
      <c r="E33" s="164"/>
      <c r="F33" s="164"/>
    </row>
    <row r="34" spans="1:6" s="43" customFormat="1">
      <c r="A34" s="164"/>
      <c r="B34" s="164"/>
      <c r="C34" s="164"/>
      <c r="D34" s="164"/>
      <c r="E34" s="164"/>
      <c r="F34" s="164"/>
    </row>
    <row r="35" spans="1:6" s="43" customFormat="1">
      <c r="A35" s="164"/>
      <c r="B35" s="164"/>
      <c r="C35" s="164"/>
      <c r="D35" s="164"/>
      <c r="E35" s="164"/>
      <c r="F35" s="164"/>
    </row>
    <row r="36" spans="1:6" s="43" customFormat="1">
      <c r="A36" s="164"/>
      <c r="B36" s="164"/>
      <c r="C36" s="164"/>
      <c r="D36" s="164"/>
      <c r="E36" s="164"/>
      <c r="F36" s="164"/>
    </row>
    <row r="37" spans="1:6" s="43" customFormat="1">
      <c r="A37" s="164"/>
      <c r="B37" s="164"/>
      <c r="C37" s="164"/>
      <c r="D37" s="164"/>
      <c r="E37" s="164"/>
      <c r="F37" s="164"/>
    </row>
    <row r="38" spans="1:6" s="43" customFormat="1">
      <c r="A38" s="164"/>
      <c r="B38" s="164"/>
      <c r="C38" s="164"/>
      <c r="D38" s="164"/>
      <c r="E38" s="164"/>
      <c r="F38" s="164"/>
    </row>
    <row r="39" spans="1:6" s="43" customFormat="1">
      <c r="A39" s="164"/>
      <c r="B39" s="164"/>
      <c r="C39" s="164"/>
      <c r="D39" s="164"/>
      <c r="E39" s="164"/>
      <c r="F39" s="164"/>
    </row>
    <row r="40" spans="1:6" s="43" customFormat="1"/>
    <row r="41" spans="1:6" s="43" customFormat="1"/>
    <row r="42" spans="1:6" s="43" customFormat="1"/>
  </sheetData>
  <mergeCells count="16">
    <mergeCell ref="A29:F29"/>
    <mergeCell ref="A24:F24"/>
    <mergeCell ref="A25:F25"/>
    <mergeCell ref="A26:F26"/>
    <mergeCell ref="A27:F27"/>
    <mergeCell ref="A28:F28"/>
    <mergeCell ref="A36:F36"/>
    <mergeCell ref="A37:F37"/>
    <mergeCell ref="A38:F38"/>
    <mergeCell ref="A39:F39"/>
    <mergeCell ref="A30:F30"/>
    <mergeCell ref="A31:F31"/>
    <mergeCell ref="A32:F32"/>
    <mergeCell ref="A33:F33"/>
    <mergeCell ref="A34:F34"/>
    <mergeCell ref="A35:F3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ching_x0020_Aid xmlns="5be466aa-9221-4526-8a51-40bb3c3e9733">Training Support Doc</Teaching_x0020_Aid>
    <Progress xmlns="5be466aa-9221-4526-8a51-40bb3c3e9733" xsi:nil="true"/>
    <MigrationWizIdPermissionLevels xmlns="5be466aa-9221-4526-8a51-40bb3c3e9733" xsi:nil="true"/>
    <MigrationWizIdPermissions xmlns="5be466aa-9221-4526-8a51-40bb3c3e9733" xsi:nil="true"/>
    <MigrationWizIdDocumentLibraryPermissions xmlns="5be466aa-9221-4526-8a51-40bb3c3e9733" xsi:nil="true"/>
    <MigrationWizIdSecurityGroups xmlns="5be466aa-9221-4526-8a51-40bb3c3e9733" xsi:nil="true"/>
    <MigrationWizIdVersion xmlns="5be466aa-9221-4526-8a51-40bb3c3e9733">411325a7-5d54-4b7c-8b2c-a178d0e00170-638254482370000000</MigrationWizIdVersion>
    <MigrationWizId xmlns="5be466aa-9221-4526-8a51-40bb3c3e9733">411325a7-5d54-4b7c-8b2c-a178d0e00170</MigrationWizId>
    <lcf76f155ced4ddcb4097134ff3c332f1 xmlns="5be466aa-9221-4526-8a51-40bb3c3e9733" xsi:nil="true"/>
    <lcf76f155ced4ddcb4097134ff3c332f0 xmlns="5be466aa-9221-4526-8a51-40bb3c3e9733" xsi:nil="true"/>
    <lcf76f155ced4ddcb4097134ff3c332f xmlns="5be466aa-9221-4526-8a51-40bb3c3e9733">
      <Terms xmlns="http://schemas.microsoft.com/office/infopath/2007/PartnerControls"/>
    </lcf76f155ced4ddcb4097134ff3c332f>
    <TaxCatchAll xmlns="79b53a2e-f2ad-401e-ad3b-f695ae178b13" xsi:nil="true"/>
    <TranslatedLang xmlns="5be466aa-9221-4526-8a51-40bb3c3e97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4EA066C29E94CB40A809408264F39" ma:contentTypeVersion="26" ma:contentTypeDescription="Create a new document." ma:contentTypeScope="" ma:versionID="2d4fb0cf1277a1bd133c699ed8219caa">
  <xsd:schema xmlns:xsd="http://www.w3.org/2001/XMLSchema" xmlns:xs="http://www.w3.org/2001/XMLSchema" xmlns:p="http://schemas.microsoft.com/office/2006/metadata/properties" xmlns:ns2="5be466aa-9221-4526-8a51-40bb3c3e9733" xmlns:ns3="79b53a2e-f2ad-401e-ad3b-f695ae178b13" targetNamespace="http://schemas.microsoft.com/office/2006/metadata/properties" ma:root="true" ma:fieldsID="f8214617697dee6d5eca5a33c618269e" ns2:_="" ns3:_="">
    <xsd:import namespace="5be466aa-9221-4526-8a51-40bb3c3e9733"/>
    <xsd:import namespace="79b53a2e-f2ad-401e-ad3b-f695ae178b1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Teaching_x0020_Aid" minOccurs="0"/>
                <xsd:element ref="ns2:lcf76f155ced4ddcb4097134ff3c332f0" minOccurs="0"/>
                <xsd:element ref="ns2:Progress" minOccurs="0"/>
                <xsd:element ref="ns2:lcf76f155ced4ddcb4097134ff3c332f1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66aa-9221-4526-8a51-40bb3c3e973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Teaching_x0020_Aid" ma:index="14" nillable="true" ma:displayName="Teaching Aid" ma:description="Handout, Presentation, Course Outline or Training Doc" ma:format="Dropdown" ma:internalName="Teaching_x0020_Aid" ma:readOnly="false">
      <xsd:simpleType>
        <xsd:restriction base="dms:Choice">
          <xsd:enumeration value="Delegate Handout"/>
          <xsd:enumeration value="Presentation"/>
          <xsd:enumeration value="Training Support Doc"/>
          <xsd:enumeration value="Course Outline"/>
          <xsd:enumeration value="Lesson Plan"/>
          <xsd:enumeration value="Instructions / Procedure Table"/>
          <xsd:enumeration value="Transcript File"/>
          <xsd:enumeration value="Subtitles File"/>
          <xsd:enumeration value="Video File"/>
          <xsd:enumeration value="Audio File"/>
          <xsd:enumeration value="Speech"/>
        </xsd:restriction>
      </xsd:simpleType>
    </xsd:element>
    <xsd:element name="lcf76f155ced4ddcb4097134ff3c332f0" ma:index="15" nillable="true" ma:displayName="Image Tags_0" ma:hidden="true" ma:internalName="lcf76f155ced4ddcb4097134ff3c332f0" ma:readOnly="false">
      <xsd:simpleType>
        <xsd:restriction base="dms:Note"/>
      </xsd:simpleType>
    </xsd:element>
    <xsd:element name="Progress" ma:index="16" nillable="true" ma:displayName="Progress" ma:format="Dropdown" ma:internalName="Progress" ma:readOnly="false">
      <xsd:simpleType>
        <xsd:restriction base="dms:Choice">
          <xsd:enumeration value="In progress"/>
          <xsd:enumeration value="Completed"/>
          <xsd:enumeration value="Not started"/>
        </xsd:restriction>
      </xsd:simpleType>
    </xsd:element>
    <xsd:element name="lcf76f155ced4ddcb4097134ff3c332f1" ma:index="17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4c5b3c6d-d9d8-41a8-b6c6-8930cfab3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  <xsd:element name="TranslatedLang" ma:index="33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53a2e-f2ad-401e-ad3b-f695ae178b13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3b49676e-9fa7-4f23-b24b-9e1c68e57baf}" ma:internalName="TaxCatchAll" ma:showField="CatchAllData" ma:web="79b53a2e-f2ad-401e-ad3b-f695ae178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C271D5-A722-4A28-A015-5CB3ECD445CC}"/>
</file>

<file path=customXml/itemProps2.xml><?xml version="1.0" encoding="utf-8"?>
<ds:datastoreItem xmlns:ds="http://schemas.openxmlformats.org/officeDocument/2006/customXml" ds:itemID="{F3E164D7-ECEF-4B8E-AD69-60C6F55C403D}"/>
</file>

<file path=customXml/itemProps3.xml><?xml version="1.0" encoding="utf-8"?>
<ds:datastoreItem xmlns:ds="http://schemas.openxmlformats.org/officeDocument/2006/customXml" ds:itemID="{D72C742E-514E-4D13-B87E-41E0CFD7FC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 Blake</dc:creator>
  <cp:keywords/>
  <dc:description/>
  <cp:lastModifiedBy/>
  <cp:revision/>
  <dcterms:created xsi:type="dcterms:W3CDTF">2018-12-22T17:32:00Z</dcterms:created>
  <dcterms:modified xsi:type="dcterms:W3CDTF">2026-04-30T08:25:57Z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0x010100B7B4EA066C29E94CB40A809408264F39</vt:lpwstr>
  </property>
  <property fmtid="{D5CDD505-2E9C-101B-9397-08002B2CF9AE}" pid="3" name="Stage">
    <vt:lpwstr>Not Started</vt:lpwstr>
  </property>
  <property fmtid="{D5CDD505-2E9C-101B-9397-08002B2CF9AE}" pid="4" name="MediaServiceImageTags">
    <vt:lpwstr/>
  </property>
</Properties>
</file>