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tract5.sharepoint.com/sites/ALXTrainers/Shared Documents/Microsoft Excel/Excel - Formulas &amp; Functions 1 Course/"/>
    </mc:Choice>
  </mc:AlternateContent>
  <xr:revisionPtr revIDLastSave="0" documentId="101_S{BB66B54C-18A5-5D4B-8367-DA9BE494D46B}" xr6:coauthVersionLast="47" xr6:coauthVersionMax="47" xr10:uidLastSave="{00000000-0000-0000-0000-000000000000}"/>
  <bookViews>
    <workbookView xWindow="-120" yWindow="-120" windowWidth="29040" windowHeight="17520" xr2:uid="{D46A1B63-C433-4272-BE50-51CC89DCBFFF}"/>
  </bookViews>
  <sheets>
    <sheet name="IF (1) " sheetId="2" r:id="rId1"/>
    <sheet name=" IF (2)" sheetId="1" r:id="rId2"/>
    <sheet name="IF (Practice)" sheetId="3" r:id="rId3"/>
    <sheet name="AND, OR" sheetId="6" r:id="rId4"/>
    <sheet name="Intro - Functions" sheetId="4" r:id="rId5"/>
    <sheet name="Practice Functions" sheetId="13" r:id="rId6"/>
    <sheet name="More Practice" sheetId="10" r:id="rId7"/>
    <sheet name="Which Function" sheetId="7" r:id="rId8"/>
  </sheets>
  <externalReferences>
    <externalReference r:id="rId9"/>
  </externalReferences>
  <definedNames>
    <definedName name="_56F9DC9755BA473782653E2940F9FormId">"ERVWK999XEmBZPVq53bFSuKg0tl6P7lPpZaLkWIi02pUQjFLU1dUTFE2TFQ0S0g4VVFXT1VJNDBaVyQlQCN0PWcu"</definedName>
    <definedName name="_56F9DC9755BA473782653E2940F9ResponseSheet">"Form1"</definedName>
    <definedName name="_56F9DC9755BA473782653E2940F9SourceDocId">"{28297dbd-b45f-431d-8976-06ea7ae00eed}"</definedName>
    <definedName name="_xlnm._FilterDatabase" localSheetId="1" hidden="1">' IF (2)'!$A$1:$K$2</definedName>
    <definedName name="_xlnm._FilterDatabase" localSheetId="3" hidden="1">'AND, OR'!$A$1:$O$170</definedName>
    <definedName name="_xlnm._FilterDatabase" localSheetId="2" hidden="1">'IF (Practice)'!$A$1:$F$26</definedName>
    <definedName name="_xlnm._FilterDatabase" localSheetId="4" hidden="1">'Intro - Functions'!$A$1:$E$51</definedName>
    <definedName name="_xlnm._FilterDatabase" localSheetId="6" hidden="1">'More Practice'!$A$3:$I$71</definedName>
    <definedName name="_xlnm._FilterDatabase" localSheetId="5" hidden="1">'Practice Functions'!$A$1:$H$1</definedName>
    <definedName name="_xlnm._FilterDatabase" localSheetId="7" hidden="1">'Which Function'!$A$1:$J$20</definedName>
    <definedName name="Dept">'[1]HR - Lists'!$D$2:$D$5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41595.5207060185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Nation">'[1]HR - Lists'!$A$3:$A$6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83" i="6" l="1"/>
  <c r="L20" i="6"/>
  <c r="L82" i="6"/>
  <c r="L118" i="6"/>
  <c r="L117" i="6"/>
  <c r="L81" i="6"/>
  <c r="L80" i="6"/>
  <c r="L153" i="6"/>
  <c r="L79" i="6"/>
  <c r="L7" i="6"/>
  <c r="L116" i="6"/>
  <c r="L6" i="6"/>
  <c r="L152" i="6"/>
  <c r="L67" i="6"/>
  <c r="L151" i="6"/>
  <c r="L150" i="6"/>
  <c r="L149" i="6"/>
  <c r="L148" i="6"/>
  <c r="L66" i="6"/>
  <c r="L73" i="6"/>
  <c r="L115" i="6"/>
  <c r="L65" i="6"/>
  <c r="L64" i="6"/>
  <c r="L147" i="6"/>
  <c r="L35" i="6"/>
  <c r="L146" i="6"/>
  <c r="L145" i="6"/>
  <c r="L114" i="6"/>
  <c r="L63" i="6"/>
  <c r="L170" i="6"/>
  <c r="L27" i="6"/>
  <c r="L34" i="6"/>
  <c r="L169" i="6"/>
  <c r="L19" i="6"/>
  <c r="L113" i="6"/>
  <c r="L33" i="6"/>
  <c r="L112" i="6"/>
  <c r="L168" i="6"/>
  <c r="L167" i="6"/>
  <c r="L32" i="6"/>
  <c r="L144" i="6"/>
  <c r="L72" i="6"/>
  <c r="L62" i="6"/>
  <c r="L111" i="6"/>
  <c r="L110" i="6"/>
  <c r="L157" i="6"/>
  <c r="L61" i="6"/>
  <c r="L60" i="6"/>
  <c r="L59" i="6"/>
  <c r="L78" i="6"/>
  <c r="L143" i="6"/>
  <c r="L58" i="6"/>
  <c r="L142" i="6"/>
  <c r="L109" i="6"/>
  <c r="L141" i="6"/>
  <c r="L166" i="6"/>
  <c r="L18" i="6"/>
  <c r="L140" i="6"/>
  <c r="L31" i="6"/>
  <c r="L57" i="6"/>
  <c r="L40" i="6"/>
  <c r="L139" i="6"/>
  <c r="L39" i="6"/>
  <c r="L30" i="6"/>
  <c r="L108" i="6"/>
  <c r="L165" i="6"/>
  <c r="L5" i="6"/>
  <c r="L138" i="6"/>
  <c r="L77" i="6"/>
  <c r="L107" i="6"/>
  <c r="L106" i="6"/>
  <c r="L105" i="6"/>
  <c r="L156" i="6"/>
  <c r="L104" i="6"/>
  <c r="L103" i="6"/>
  <c r="L137" i="6"/>
  <c r="L164" i="6"/>
  <c r="L120" i="6"/>
  <c r="L56" i="6"/>
  <c r="L55" i="6"/>
  <c r="L54" i="6"/>
  <c r="L17" i="6"/>
  <c r="L136" i="6"/>
  <c r="L102" i="6"/>
  <c r="L29" i="6"/>
  <c r="L28" i="6"/>
  <c r="L101" i="6"/>
  <c r="L100" i="6"/>
  <c r="L135" i="6"/>
  <c r="L38" i="6"/>
  <c r="L99" i="6"/>
  <c r="L163" i="6"/>
  <c r="L134" i="6"/>
  <c r="L26" i="6"/>
  <c r="L53" i="6"/>
  <c r="L98" i="6"/>
  <c r="L52" i="6"/>
  <c r="L119" i="6"/>
  <c r="L71" i="6"/>
  <c r="L162" i="6"/>
  <c r="L161" i="6"/>
  <c r="L25" i="6"/>
  <c r="L24" i="6"/>
  <c r="L70" i="6"/>
  <c r="L51" i="6"/>
  <c r="L97" i="6"/>
  <c r="L155" i="6"/>
  <c r="L23" i="6"/>
  <c r="L44" i="6"/>
  <c r="L16" i="6"/>
  <c r="L69" i="6"/>
  <c r="L50" i="6"/>
  <c r="L133" i="6"/>
  <c r="L49" i="6"/>
  <c r="L48" i="6"/>
  <c r="L132" i="6"/>
  <c r="L131" i="6"/>
  <c r="L22" i="6"/>
  <c r="L130" i="6"/>
  <c r="L96" i="6"/>
  <c r="L95" i="6"/>
  <c r="L154" i="6"/>
  <c r="L129" i="6"/>
  <c r="L47" i="6"/>
  <c r="L160" i="6"/>
  <c r="L4" i="6"/>
  <c r="L76" i="6"/>
  <c r="L94" i="6"/>
  <c r="L75" i="6"/>
  <c r="L93" i="6"/>
  <c r="L128" i="6"/>
  <c r="L37" i="6"/>
  <c r="L36" i="6"/>
  <c r="L15" i="6"/>
  <c r="L92" i="6"/>
  <c r="L127" i="6"/>
  <c r="L126" i="6"/>
  <c r="L91" i="6"/>
  <c r="L125" i="6"/>
  <c r="L14" i="6"/>
  <c r="L10" i="6"/>
  <c r="L43" i="6"/>
  <c r="L9" i="6"/>
  <c r="L124" i="6"/>
  <c r="L3" i="6"/>
  <c r="L42" i="6"/>
  <c r="L90" i="6"/>
  <c r="L123" i="6"/>
  <c r="L122" i="6"/>
  <c r="L89" i="6"/>
  <c r="L13" i="6"/>
  <c r="L21" i="6"/>
  <c r="L46" i="6"/>
  <c r="L88" i="6"/>
  <c r="L159" i="6"/>
  <c r="L87" i="6"/>
  <c r="L86" i="6"/>
  <c r="L85" i="6"/>
  <c r="L158" i="6"/>
  <c r="L84" i="6"/>
  <c r="L41" i="6"/>
  <c r="L74" i="6"/>
  <c r="L68" i="6"/>
  <c r="L2" i="6"/>
  <c r="L12" i="6"/>
  <c r="L45" i="6"/>
  <c r="L121" i="6"/>
  <c r="L11" i="6"/>
  <c r="L8" i="6"/>
  <c r="S18" i="10"/>
  <c r="S17" i="10"/>
  <c r="S8" i="10"/>
  <c r="S6" i="10"/>
  <c r="S5" i="10"/>
  <c r="S4" i="10"/>
  <c r="J3" i="4"/>
  <c r="N42" i="13"/>
  <c r="N41" i="13"/>
  <c r="N40" i="13"/>
  <c r="N39" i="13"/>
  <c r="N35" i="13"/>
  <c r="N33" i="13"/>
  <c r="N32" i="13"/>
  <c r="N31" i="13"/>
  <c r="N29" i="13"/>
  <c r="N25" i="13"/>
  <c r="N24" i="13"/>
  <c r="N23" i="13"/>
  <c r="N21" i="13"/>
  <c r="N20" i="13"/>
  <c r="N19" i="13"/>
  <c r="N18" i="13"/>
  <c r="N16" i="13"/>
  <c r="N12" i="13"/>
  <c r="N11" i="13"/>
  <c r="N10" i="13"/>
  <c r="N9" i="13"/>
  <c r="N7" i="13"/>
  <c r="N6" i="13"/>
  <c r="N5" i="13"/>
  <c r="N3" i="13"/>
  <c r="K3" i="7" l="1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" i="7"/>
  <c r="O6" i="7"/>
  <c r="O13" i="7"/>
  <c r="O12" i="7"/>
  <c r="O11" i="7"/>
  <c r="O10" i="7"/>
  <c r="O9" i="7"/>
  <c r="O8" i="7"/>
  <c r="O7" i="7"/>
  <c r="O4" i="7"/>
  <c r="S22" i="10"/>
  <c r="S21" i="10"/>
  <c r="S20" i="10"/>
  <c r="S19" i="10"/>
  <c r="S16" i="10"/>
  <c r="S15" i="10"/>
  <c r="S13" i="10"/>
  <c r="S12" i="10"/>
  <c r="S11" i="10"/>
  <c r="S9" i="10"/>
  <c r="S7" i="10"/>
  <c r="S3" i="10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O71" i="6"/>
  <c r="O29" i="6"/>
  <c r="O92" i="6"/>
  <c r="O87" i="6"/>
  <c r="O88" i="6"/>
  <c r="O155" i="6"/>
  <c r="O23" i="6"/>
  <c r="O21" i="6"/>
  <c r="O15" i="6"/>
  <c r="O17" i="6"/>
  <c r="O14" i="6"/>
  <c r="O152" i="6"/>
  <c r="O37" i="6"/>
  <c r="O84" i="6"/>
  <c r="O94" i="6"/>
  <c r="O3" i="6"/>
  <c r="O81" i="6"/>
  <c r="O75" i="6"/>
  <c r="O80" i="6"/>
  <c r="O79" i="6"/>
  <c r="O82" i="6"/>
  <c r="O43" i="6"/>
  <c r="O7" i="6"/>
  <c r="O89" i="6"/>
  <c r="O102" i="6"/>
  <c r="O106" i="6"/>
  <c r="O107" i="6"/>
  <c r="O154" i="6"/>
  <c r="O30" i="6"/>
  <c r="O120" i="6"/>
  <c r="O78" i="6"/>
  <c r="O128" i="6"/>
  <c r="O160" i="6"/>
  <c r="O65" i="6"/>
  <c r="O66" i="6"/>
  <c r="O59" i="6"/>
  <c r="O60" i="6"/>
  <c r="O58" i="6"/>
  <c r="O64" i="6"/>
  <c r="O55" i="6"/>
  <c r="O67" i="6"/>
  <c r="O45" i="6"/>
  <c r="O56" i="6"/>
  <c r="O54" i="6"/>
  <c r="O62" i="6"/>
  <c r="O104" i="6"/>
  <c r="O108" i="6"/>
  <c r="O38" i="6"/>
  <c r="O39" i="6"/>
  <c r="O40" i="6"/>
  <c r="O141" i="6"/>
  <c r="O139" i="6"/>
  <c r="O127" i="6"/>
  <c r="O147" i="6"/>
  <c r="O142" i="6"/>
  <c r="O144" i="6"/>
  <c r="O131" i="6"/>
  <c r="O148" i="6"/>
  <c r="O153" i="6"/>
  <c r="O146" i="6"/>
  <c r="O151" i="6"/>
  <c r="O145" i="6"/>
  <c r="O114" i="6"/>
  <c r="O52" i="6"/>
  <c r="O100" i="6"/>
  <c r="O63" i="6"/>
  <c r="O101" i="6"/>
  <c r="O112" i="6"/>
  <c r="O51" i="6"/>
  <c r="O170" i="6"/>
  <c r="O70" i="6"/>
  <c r="O161" i="6"/>
  <c r="O86" i="6"/>
  <c r="O159" i="6"/>
  <c r="O158" i="6"/>
  <c r="O85" i="6"/>
  <c r="O76" i="6"/>
  <c r="O77" i="6"/>
  <c r="O24" i="6"/>
  <c r="O13" i="6"/>
  <c r="O20" i="6"/>
  <c r="O163" i="6"/>
  <c r="O10" i="6"/>
  <c r="O8" i="6"/>
  <c r="O44" i="6"/>
  <c r="O42" i="6"/>
  <c r="O41" i="6"/>
  <c r="O119" i="6"/>
  <c r="O9" i="6"/>
  <c r="O117" i="6"/>
  <c r="O115" i="6"/>
  <c r="O105" i="6"/>
  <c r="O118" i="6"/>
  <c r="O103" i="6"/>
  <c r="O116" i="6"/>
  <c r="O109" i="6"/>
  <c r="O110" i="6"/>
  <c r="O95" i="6"/>
  <c r="O97" i="6"/>
  <c r="O47" i="6"/>
  <c r="O53" i="6"/>
  <c r="O57" i="6"/>
  <c r="O113" i="6"/>
  <c r="O98" i="6"/>
  <c r="O168" i="6"/>
  <c r="O31" i="6"/>
  <c r="O156" i="6"/>
  <c r="O162" i="6"/>
  <c r="O28" i="6"/>
  <c r="O157" i="6"/>
  <c r="O72" i="6"/>
  <c r="O73" i="6"/>
  <c r="O34" i="6"/>
  <c r="O27" i="6"/>
  <c r="O69" i="6"/>
  <c r="O4" i="6"/>
  <c r="O169" i="6"/>
  <c r="O25" i="6"/>
  <c r="O16" i="6"/>
  <c r="O5" i="6"/>
  <c r="O18" i="6"/>
  <c r="O11" i="6"/>
  <c r="O33" i="6"/>
  <c r="O19" i="6"/>
  <c r="O12" i="6"/>
  <c r="O138" i="6"/>
  <c r="O22" i="6"/>
  <c r="O126" i="6"/>
  <c r="O130" i="6"/>
  <c r="O135" i="6"/>
  <c r="O136" i="6"/>
  <c r="O150" i="6"/>
  <c r="O134" i="6"/>
  <c r="O143" i="6"/>
  <c r="O129" i="6"/>
  <c r="O122" i="6"/>
  <c r="O125" i="6"/>
  <c r="O123" i="6"/>
  <c r="O124" i="6"/>
  <c r="O140" i="6"/>
  <c r="O133" i="6"/>
  <c r="O137" i="6"/>
  <c r="O132" i="6"/>
  <c r="O164" i="6"/>
  <c r="O167" i="6"/>
  <c r="O166" i="6"/>
  <c r="O35" i="6"/>
  <c r="O6" i="6"/>
  <c r="O165" i="6"/>
  <c r="N61" i="6"/>
  <c r="N50" i="6"/>
  <c r="N121" i="6"/>
  <c r="N46" i="6"/>
  <c r="N99" i="6"/>
  <c r="N49" i="6"/>
  <c r="N48" i="6"/>
  <c r="N90" i="6"/>
  <c r="N96" i="6"/>
  <c r="N111" i="6"/>
  <c r="N71" i="6"/>
  <c r="N32" i="6"/>
  <c r="N29" i="6"/>
  <c r="N92" i="6"/>
  <c r="N93" i="6"/>
  <c r="N87" i="6"/>
  <c r="N88" i="6"/>
  <c r="N91" i="6"/>
  <c r="N155" i="6"/>
  <c r="N23" i="6"/>
  <c r="N21" i="6"/>
  <c r="N2" i="6"/>
  <c r="N15" i="6"/>
  <c r="N17" i="6"/>
  <c r="N14" i="6"/>
  <c r="N149" i="6"/>
  <c r="N152" i="6"/>
  <c r="N68" i="6"/>
  <c r="N36" i="6"/>
  <c r="N37" i="6"/>
  <c r="N84" i="6"/>
  <c r="N94" i="6"/>
  <c r="N3" i="6"/>
  <c r="N81" i="6"/>
  <c r="N75" i="6"/>
  <c r="N80" i="6"/>
  <c r="N79" i="6"/>
  <c r="N82" i="6"/>
  <c r="N43" i="6"/>
  <c r="N7" i="6"/>
  <c r="N89" i="6"/>
  <c r="N102" i="6"/>
  <c r="N106" i="6"/>
  <c r="N107" i="6"/>
  <c r="N154" i="6"/>
  <c r="N30" i="6"/>
  <c r="N120" i="6"/>
  <c r="N78" i="6"/>
  <c r="N128" i="6"/>
  <c r="N160" i="6"/>
  <c r="N65" i="6"/>
  <c r="N66" i="6"/>
  <c r="N59" i="6"/>
  <c r="N60" i="6"/>
  <c r="N58" i="6"/>
  <c r="N64" i="6"/>
  <c r="N55" i="6"/>
  <c r="N67" i="6"/>
  <c r="N45" i="6"/>
  <c r="N56" i="6"/>
  <c r="N54" i="6"/>
  <c r="N62" i="6"/>
  <c r="N104" i="6"/>
  <c r="N108" i="6"/>
  <c r="N38" i="6"/>
  <c r="N39" i="6"/>
  <c r="N40" i="6"/>
  <c r="N141" i="6"/>
  <c r="N139" i="6"/>
  <c r="N127" i="6"/>
  <c r="N147" i="6"/>
  <c r="N142" i="6"/>
  <c r="N144" i="6"/>
  <c r="N131" i="6"/>
  <c r="N148" i="6"/>
  <c r="N153" i="6"/>
  <c r="N146" i="6"/>
  <c r="N151" i="6"/>
  <c r="N145" i="6"/>
  <c r="N114" i="6"/>
  <c r="N52" i="6"/>
  <c r="N100" i="6"/>
  <c r="N63" i="6"/>
  <c r="N101" i="6"/>
  <c r="N112" i="6"/>
  <c r="N51" i="6"/>
  <c r="N170" i="6"/>
  <c r="N70" i="6"/>
  <c r="N161" i="6"/>
  <c r="N86" i="6"/>
  <c r="N159" i="6"/>
  <c r="N158" i="6"/>
  <c r="N85" i="6"/>
  <c r="N76" i="6"/>
  <c r="N77" i="6"/>
  <c r="N24" i="6"/>
  <c r="N13" i="6"/>
  <c r="N20" i="6"/>
  <c r="N26" i="6"/>
  <c r="N163" i="6"/>
  <c r="N10" i="6"/>
  <c r="N8" i="6"/>
  <c r="N44" i="6"/>
  <c r="N42" i="6"/>
  <c r="N74" i="6"/>
  <c r="N41" i="6"/>
  <c r="N119" i="6"/>
  <c r="N83" i="6"/>
  <c r="N9" i="6"/>
  <c r="N117" i="6"/>
  <c r="N115" i="6"/>
  <c r="N105" i="6"/>
  <c r="N118" i="6"/>
  <c r="N103" i="6"/>
  <c r="N116" i="6"/>
  <c r="N109" i="6"/>
  <c r="N110" i="6"/>
  <c r="N95" i="6"/>
  <c r="N97" i="6"/>
  <c r="N47" i="6"/>
  <c r="N53" i="6"/>
  <c r="N57" i="6"/>
  <c r="N113" i="6"/>
  <c r="N98" i="6"/>
  <c r="N168" i="6"/>
  <c r="N31" i="6"/>
  <c r="N156" i="6"/>
  <c r="N162" i="6"/>
  <c r="N28" i="6"/>
  <c r="N157" i="6"/>
  <c r="N72" i="6"/>
  <c r="N73" i="6"/>
  <c r="N34" i="6"/>
  <c r="N27" i="6"/>
  <c r="N69" i="6"/>
  <c r="N4" i="6"/>
  <c r="N169" i="6"/>
  <c r="N25" i="6"/>
  <c r="N16" i="6"/>
  <c r="N5" i="6"/>
  <c r="N18" i="6"/>
  <c r="N11" i="6"/>
  <c r="N33" i="6"/>
  <c r="N19" i="6"/>
  <c r="N12" i="6"/>
  <c r="N138" i="6"/>
  <c r="N22" i="6"/>
  <c r="N126" i="6"/>
  <c r="N130" i="6"/>
  <c r="N135" i="6"/>
  <c r="N136" i="6"/>
  <c r="N150" i="6"/>
  <c r="N134" i="6"/>
  <c r="N143" i="6"/>
  <c r="N129" i="6"/>
  <c r="N122" i="6"/>
  <c r="N125" i="6"/>
  <c r="N123" i="6"/>
  <c r="N124" i="6"/>
  <c r="N140" i="6"/>
  <c r="N133" i="6"/>
  <c r="N137" i="6"/>
  <c r="N132" i="6"/>
  <c r="N164" i="6"/>
  <c r="N167" i="6"/>
  <c r="N166" i="6"/>
  <c r="N35" i="6"/>
  <c r="N6" i="6"/>
  <c r="N165" i="6"/>
  <c r="M61" i="6"/>
  <c r="M50" i="6"/>
  <c r="M121" i="6"/>
  <c r="M46" i="6"/>
  <c r="M99" i="6"/>
  <c r="M49" i="6"/>
  <c r="M48" i="6"/>
  <c r="M90" i="6"/>
  <c r="M96" i="6"/>
  <c r="M111" i="6"/>
  <c r="M71" i="6"/>
  <c r="M32" i="6"/>
  <c r="M29" i="6"/>
  <c r="M92" i="6"/>
  <c r="M93" i="6"/>
  <c r="M87" i="6"/>
  <c r="M88" i="6"/>
  <c r="M91" i="6"/>
  <c r="M155" i="6"/>
  <c r="M23" i="6"/>
  <c r="M21" i="6"/>
  <c r="M2" i="6"/>
  <c r="M15" i="6"/>
  <c r="M17" i="6"/>
  <c r="M14" i="6"/>
  <c r="M149" i="6"/>
  <c r="M152" i="6"/>
  <c r="M68" i="6"/>
  <c r="M36" i="6"/>
  <c r="M37" i="6"/>
  <c r="M84" i="6"/>
  <c r="M94" i="6"/>
  <c r="M3" i="6"/>
  <c r="M81" i="6"/>
  <c r="M75" i="6"/>
  <c r="M80" i="6"/>
  <c r="M79" i="6"/>
  <c r="M82" i="6"/>
  <c r="M43" i="6"/>
  <c r="M7" i="6"/>
  <c r="M89" i="6"/>
  <c r="M102" i="6"/>
  <c r="M106" i="6"/>
  <c r="M107" i="6"/>
  <c r="M154" i="6"/>
  <c r="M30" i="6"/>
  <c r="M120" i="6"/>
  <c r="M78" i="6"/>
  <c r="M128" i="6"/>
  <c r="M160" i="6"/>
  <c r="M65" i="6"/>
  <c r="M66" i="6"/>
  <c r="M59" i="6"/>
  <c r="M60" i="6"/>
  <c r="M58" i="6"/>
  <c r="M64" i="6"/>
  <c r="M55" i="6"/>
  <c r="M67" i="6"/>
  <c r="M45" i="6"/>
  <c r="M56" i="6"/>
  <c r="M54" i="6"/>
  <c r="M62" i="6"/>
  <c r="M104" i="6"/>
  <c r="M108" i="6"/>
  <c r="M38" i="6"/>
  <c r="M39" i="6"/>
  <c r="M40" i="6"/>
  <c r="M141" i="6"/>
  <c r="M139" i="6"/>
  <c r="M127" i="6"/>
  <c r="M147" i="6"/>
  <c r="M142" i="6"/>
  <c r="M144" i="6"/>
  <c r="M131" i="6"/>
  <c r="M148" i="6"/>
  <c r="M153" i="6"/>
  <c r="M146" i="6"/>
  <c r="M151" i="6"/>
  <c r="M145" i="6"/>
  <c r="M114" i="6"/>
  <c r="M52" i="6"/>
  <c r="M100" i="6"/>
  <c r="M63" i="6"/>
  <c r="M101" i="6"/>
  <c r="M112" i="6"/>
  <c r="M51" i="6"/>
  <c r="M170" i="6"/>
  <c r="M70" i="6"/>
  <c r="M161" i="6"/>
  <c r="M86" i="6"/>
  <c r="M159" i="6"/>
  <c r="M158" i="6"/>
  <c r="M85" i="6"/>
  <c r="M76" i="6"/>
  <c r="M77" i="6"/>
  <c r="M24" i="6"/>
  <c r="M13" i="6"/>
  <c r="M20" i="6"/>
  <c r="M26" i="6"/>
  <c r="M163" i="6"/>
  <c r="M10" i="6"/>
  <c r="M8" i="6"/>
  <c r="M44" i="6"/>
  <c r="M42" i="6"/>
  <c r="M74" i="6"/>
  <c r="M41" i="6"/>
  <c r="M119" i="6"/>
  <c r="M83" i="6"/>
  <c r="M9" i="6"/>
  <c r="M117" i="6"/>
  <c r="M115" i="6"/>
  <c r="M105" i="6"/>
  <c r="M118" i="6"/>
  <c r="M103" i="6"/>
  <c r="M116" i="6"/>
  <c r="M109" i="6"/>
  <c r="M110" i="6"/>
  <c r="M95" i="6"/>
  <c r="M97" i="6"/>
  <c r="M47" i="6"/>
  <c r="M53" i="6"/>
  <c r="M57" i="6"/>
  <c r="M113" i="6"/>
  <c r="M98" i="6"/>
  <c r="M168" i="6"/>
  <c r="M31" i="6"/>
  <c r="M156" i="6"/>
  <c r="M162" i="6"/>
  <c r="M28" i="6"/>
  <c r="M157" i="6"/>
  <c r="M72" i="6"/>
  <c r="M73" i="6"/>
  <c r="M34" i="6"/>
  <c r="M27" i="6"/>
  <c r="M69" i="6"/>
  <c r="M4" i="6"/>
  <c r="M169" i="6"/>
  <c r="M25" i="6"/>
  <c r="M16" i="6"/>
  <c r="M5" i="6"/>
  <c r="M18" i="6"/>
  <c r="M11" i="6"/>
  <c r="M33" i="6"/>
  <c r="M19" i="6"/>
  <c r="M12" i="6"/>
  <c r="M138" i="6"/>
  <c r="M22" i="6"/>
  <c r="M126" i="6"/>
  <c r="M130" i="6"/>
  <c r="M135" i="6"/>
  <c r="M136" i="6"/>
  <c r="M150" i="6"/>
  <c r="M134" i="6"/>
  <c r="M143" i="6"/>
  <c r="M129" i="6"/>
  <c r="M122" i="6"/>
  <c r="M125" i="6"/>
  <c r="M123" i="6"/>
  <c r="M124" i="6"/>
  <c r="M140" i="6"/>
  <c r="M133" i="6"/>
  <c r="M137" i="6"/>
  <c r="M132" i="6"/>
  <c r="M164" i="6"/>
  <c r="M167" i="6"/>
  <c r="M166" i="6"/>
  <c r="M35" i="6"/>
  <c r="M6" i="6"/>
  <c r="M165" i="6"/>
  <c r="K61" i="6"/>
  <c r="K50" i="6"/>
  <c r="K121" i="6"/>
  <c r="K46" i="6"/>
  <c r="K99" i="6"/>
  <c r="K49" i="6"/>
  <c r="K48" i="6"/>
  <c r="K90" i="6"/>
  <c r="K96" i="6"/>
  <c r="K111" i="6"/>
  <c r="K71" i="6"/>
  <c r="K32" i="6"/>
  <c r="K29" i="6"/>
  <c r="K92" i="6"/>
  <c r="K93" i="6"/>
  <c r="K87" i="6"/>
  <c r="K88" i="6"/>
  <c r="K91" i="6"/>
  <c r="K155" i="6"/>
  <c r="K23" i="6"/>
  <c r="K21" i="6"/>
  <c r="K2" i="6"/>
  <c r="K15" i="6"/>
  <c r="K17" i="6"/>
  <c r="K14" i="6"/>
  <c r="K149" i="6"/>
  <c r="K152" i="6"/>
  <c r="K68" i="6"/>
  <c r="K36" i="6"/>
  <c r="K37" i="6"/>
  <c r="K84" i="6"/>
  <c r="K94" i="6"/>
  <c r="K3" i="6"/>
  <c r="K81" i="6"/>
  <c r="K75" i="6"/>
  <c r="K80" i="6"/>
  <c r="K79" i="6"/>
  <c r="K82" i="6"/>
  <c r="K43" i="6"/>
  <c r="K7" i="6"/>
  <c r="K89" i="6"/>
  <c r="K102" i="6"/>
  <c r="K106" i="6"/>
  <c r="K107" i="6"/>
  <c r="K154" i="6"/>
  <c r="K30" i="6"/>
  <c r="K120" i="6"/>
  <c r="K78" i="6"/>
  <c r="K128" i="6"/>
  <c r="K160" i="6"/>
  <c r="K65" i="6"/>
  <c r="K66" i="6"/>
  <c r="K59" i="6"/>
  <c r="K60" i="6"/>
  <c r="K58" i="6"/>
  <c r="K64" i="6"/>
  <c r="K55" i="6"/>
  <c r="K67" i="6"/>
  <c r="K45" i="6"/>
  <c r="K56" i="6"/>
  <c r="K54" i="6"/>
  <c r="K62" i="6"/>
  <c r="K104" i="6"/>
  <c r="K108" i="6"/>
  <c r="K38" i="6"/>
  <c r="K39" i="6"/>
  <c r="K40" i="6"/>
  <c r="K141" i="6"/>
  <c r="K139" i="6"/>
  <c r="K127" i="6"/>
  <c r="K147" i="6"/>
  <c r="K142" i="6"/>
  <c r="K144" i="6"/>
  <c r="K131" i="6"/>
  <c r="K148" i="6"/>
  <c r="K153" i="6"/>
  <c r="K146" i="6"/>
  <c r="K151" i="6"/>
  <c r="K145" i="6"/>
  <c r="K114" i="6"/>
  <c r="K52" i="6"/>
  <c r="K100" i="6"/>
  <c r="K63" i="6"/>
  <c r="K101" i="6"/>
  <c r="K112" i="6"/>
  <c r="K51" i="6"/>
  <c r="K170" i="6"/>
  <c r="K70" i="6"/>
  <c r="K161" i="6"/>
  <c r="K86" i="6"/>
  <c r="K159" i="6"/>
  <c r="K158" i="6"/>
  <c r="K85" i="6"/>
  <c r="K76" i="6"/>
  <c r="K77" i="6"/>
  <c r="K24" i="6"/>
  <c r="K13" i="6"/>
  <c r="K20" i="6"/>
  <c r="K26" i="6"/>
  <c r="K163" i="6"/>
  <c r="K10" i="6"/>
  <c r="K8" i="6"/>
  <c r="K44" i="6"/>
  <c r="K42" i="6"/>
  <c r="K74" i="6"/>
  <c r="K41" i="6"/>
  <c r="K119" i="6"/>
  <c r="K83" i="6"/>
  <c r="K9" i="6"/>
  <c r="K117" i="6"/>
  <c r="K115" i="6"/>
  <c r="K105" i="6"/>
  <c r="K118" i="6"/>
  <c r="K103" i="6"/>
  <c r="K116" i="6"/>
  <c r="K109" i="6"/>
  <c r="K110" i="6"/>
  <c r="K95" i="6"/>
  <c r="K97" i="6"/>
  <c r="K47" i="6"/>
  <c r="K53" i="6"/>
  <c r="K57" i="6"/>
  <c r="K113" i="6"/>
  <c r="K98" i="6"/>
  <c r="K168" i="6"/>
  <c r="K31" i="6"/>
  <c r="K156" i="6"/>
  <c r="K162" i="6"/>
  <c r="K28" i="6"/>
  <c r="K157" i="6"/>
  <c r="K72" i="6"/>
  <c r="K73" i="6"/>
  <c r="K34" i="6"/>
  <c r="K27" i="6"/>
  <c r="K69" i="6"/>
  <c r="K4" i="6"/>
  <c r="K169" i="6"/>
  <c r="K25" i="6"/>
  <c r="K16" i="6"/>
  <c r="K5" i="6"/>
  <c r="K18" i="6"/>
  <c r="K11" i="6"/>
  <c r="K33" i="6"/>
  <c r="K19" i="6"/>
  <c r="K12" i="6"/>
  <c r="K138" i="6"/>
  <c r="K22" i="6"/>
  <c r="K126" i="6"/>
  <c r="K130" i="6"/>
  <c r="K135" i="6"/>
  <c r="K136" i="6"/>
  <c r="K150" i="6"/>
  <c r="K134" i="6"/>
  <c r="K143" i="6"/>
  <c r="K129" i="6"/>
  <c r="K122" i="6"/>
  <c r="K125" i="6"/>
  <c r="K123" i="6"/>
  <c r="K124" i="6"/>
  <c r="K140" i="6"/>
  <c r="K133" i="6"/>
  <c r="K137" i="6"/>
  <c r="K132" i="6"/>
  <c r="K164" i="6"/>
  <c r="K167" i="6"/>
  <c r="K166" i="6"/>
  <c r="K35" i="6"/>
  <c r="K6" i="6"/>
  <c r="K165" i="6"/>
  <c r="J61" i="6"/>
  <c r="J50" i="6"/>
  <c r="J121" i="6"/>
  <c r="J46" i="6"/>
  <c r="J99" i="6"/>
  <c r="J49" i="6"/>
  <c r="J48" i="6"/>
  <c r="J90" i="6"/>
  <c r="J96" i="6"/>
  <c r="J111" i="6"/>
  <c r="J71" i="6"/>
  <c r="J32" i="6"/>
  <c r="J29" i="6"/>
  <c r="J92" i="6"/>
  <c r="J93" i="6"/>
  <c r="J87" i="6"/>
  <c r="J88" i="6"/>
  <c r="J91" i="6"/>
  <c r="J155" i="6"/>
  <c r="J23" i="6"/>
  <c r="J21" i="6"/>
  <c r="J2" i="6"/>
  <c r="J15" i="6"/>
  <c r="J17" i="6"/>
  <c r="J14" i="6"/>
  <c r="J149" i="6"/>
  <c r="J152" i="6"/>
  <c r="J68" i="6"/>
  <c r="J36" i="6"/>
  <c r="J37" i="6"/>
  <c r="J84" i="6"/>
  <c r="J94" i="6"/>
  <c r="J3" i="6"/>
  <c r="J81" i="6"/>
  <c r="J75" i="6"/>
  <c r="J80" i="6"/>
  <c r="J79" i="6"/>
  <c r="J82" i="6"/>
  <c r="J43" i="6"/>
  <c r="J7" i="6"/>
  <c r="J89" i="6"/>
  <c r="J102" i="6"/>
  <c r="J106" i="6"/>
  <c r="J107" i="6"/>
  <c r="J154" i="6"/>
  <c r="J30" i="6"/>
  <c r="J120" i="6"/>
  <c r="J78" i="6"/>
  <c r="J128" i="6"/>
  <c r="J160" i="6"/>
  <c r="J65" i="6"/>
  <c r="J66" i="6"/>
  <c r="J59" i="6"/>
  <c r="J60" i="6"/>
  <c r="J58" i="6"/>
  <c r="J64" i="6"/>
  <c r="J55" i="6"/>
  <c r="J67" i="6"/>
  <c r="J45" i="6"/>
  <c r="J56" i="6"/>
  <c r="J54" i="6"/>
  <c r="J62" i="6"/>
  <c r="J104" i="6"/>
  <c r="J108" i="6"/>
  <c r="J38" i="6"/>
  <c r="J39" i="6"/>
  <c r="J40" i="6"/>
  <c r="J141" i="6"/>
  <c r="J139" i="6"/>
  <c r="J127" i="6"/>
  <c r="J147" i="6"/>
  <c r="J142" i="6"/>
  <c r="J144" i="6"/>
  <c r="J131" i="6"/>
  <c r="J148" i="6"/>
  <c r="J153" i="6"/>
  <c r="J146" i="6"/>
  <c r="J151" i="6"/>
  <c r="J145" i="6"/>
  <c r="J114" i="6"/>
  <c r="J52" i="6"/>
  <c r="J100" i="6"/>
  <c r="J63" i="6"/>
  <c r="J101" i="6"/>
  <c r="J112" i="6"/>
  <c r="J51" i="6"/>
  <c r="J170" i="6"/>
  <c r="J70" i="6"/>
  <c r="J161" i="6"/>
  <c r="J86" i="6"/>
  <c r="J159" i="6"/>
  <c r="J158" i="6"/>
  <c r="J85" i="6"/>
  <c r="J76" i="6"/>
  <c r="J77" i="6"/>
  <c r="J24" i="6"/>
  <c r="J13" i="6"/>
  <c r="J20" i="6"/>
  <c r="J26" i="6"/>
  <c r="J163" i="6"/>
  <c r="J10" i="6"/>
  <c r="J8" i="6"/>
  <c r="J44" i="6"/>
  <c r="J42" i="6"/>
  <c r="J74" i="6"/>
  <c r="J41" i="6"/>
  <c r="J119" i="6"/>
  <c r="J83" i="6"/>
  <c r="J9" i="6"/>
  <c r="J117" i="6"/>
  <c r="J115" i="6"/>
  <c r="J105" i="6"/>
  <c r="J118" i="6"/>
  <c r="J103" i="6"/>
  <c r="J116" i="6"/>
  <c r="J109" i="6"/>
  <c r="J110" i="6"/>
  <c r="J95" i="6"/>
  <c r="J97" i="6"/>
  <c r="J47" i="6"/>
  <c r="J53" i="6"/>
  <c r="J57" i="6"/>
  <c r="J113" i="6"/>
  <c r="J98" i="6"/>
  <c r="J168" i="6"/>
  <c r="J31" i="6"/>
  <c r="J156" i="6"/>
  <c r="J162" i="6"/>
  <c r="J28" i="6"/>
  <c r="J157" i="6"/>
  <c r="J72" i="6"/>
  <c r="J73" i="6"/>
  <c r="J34" i="6"/>
  <c r="J27" i="6"/>
  <c r="J69" i="6"/>
  <c r="J4" i="6"/>
  <c r="J169" i="6"/>
  <c r="J25" i="6"/>
  <c r="J16" i="6"/>
  <c r="J5" i="6"/>
  <c r="J18" i="6"/>
  <c r="J11" i="6"/>
  <c r="J33" i="6"/>
  <c r="J19" i="6"/>
  <c r="J12" i="6"/>
  <c r="J138" i="6"/>
  <c r="J22" i="6"/>
  <c r="J126" i="6"/>
  <c r="J130" i="6"/>
  <c r="J135" i="6"/>
  <c r="J136" i="6"/>
  <c r="J150" i="6"/>
  <c r="J134" i="6"/>
  <c r="J143" i="6"/>
  <c r="J129" i="6"/>
  <c r="J122" i="6"/>
  <c r="J125" i="6"/>
  <c r="J123" i="6"/>
  <c r="J124" i="6"/>
  <c r="J140" i="6"/>
  <c r="J133" i="6"/>
  <c r="J137" i="6"/>
  <c r="J132" i="6"/>
  <c r="J164" i="6"/>
  <c r="J167" i="6"/>
  <c r="J166" i="6"/>
  <c r="J35" i="6"/>
  <c r="J6" i="6"/>
  <c r="J165" i="6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" i="3"/>
  <c r="E3" i="2"/>
  <c r="E4" i="2"/>
  <c r="E5" i="2"/>
  <c r="E6" i="2"/>
  <c r="E2" i="2"/>
  <c r="D3" i="2"/>
  <c r="D4" i="2"/>
  <c r="D5" i="2"/>
  <c r="D6" i="2"/>
  <c r="D2" i="2"/>
  <c r="K3" i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  <c r="E3" i="1"/>
  <c r="E4" i="1"/>
  <c r="E5" i="1"/>
  <c r="E6" i="1"/>
  <c r="E7" i="1"/>
  <c r="E8" i="1"/>
  <c r="E9" i="1"/>
  <c r="E10" i="1"/>
  <c r="E11" i="1"/>
  <c r="E12" i="1"/>
  <c r="E13" i="1"/>
  <c r="E2" i="1"/>
  <c r="I96" i="6"/>
  <c r="O96" i="6" s="1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I83" i="6"/>
  <c r="O83" i="6" s="1"/>
  <c r="I74" i="6"/>
  <c r="O74" i="6" s="1"/>
  <c r="I26" i="6"/>
  <c r="O26" i="6" s="1"/>
  <c r="I36" i="6"/>
  <c r="O36" i="6" s="1"/>
  <c r="I68" i="6"/>
  <c r="O68" i="6" s="1"/>
  <c r="I149" i="6"/>
  <c r="O149" i="6" s="1"/>
  <c r="I2" i="6"/>
  <c r="O2" i="6" s="1"/>
  <c r="I91" i="6"/>
  <c r="O91" i="6" s="1"/>
  <c r="I93" i="6"/>
  <c r="O93" i="6" s="1"/>
  <c r="I32" i="6"/>
  <c r="O32" i="6" s="1"/>
  <c r="I111" i="6"/>
  <c r="O111" i="6" s="1"/>
  <c r="I90" i="6"/>
  <c r="O90" i="6" s="1"/>
  <c r="I48" i="6"/>
  <c r="O48" i="6" s="1"/>
  <c r="I49" i="6"/>
  <c r="O49" i="6" s="1"/>
  <c r="I99" i="6"/>
  <c r="O99" i="6" s="1"/>
  <c r="I46" i="6"/>
  <c r="O46" i="6" s="1"/>
  <c r="I121" i="6"/>
  <c r="O121" i="6" s="1"/>
  <c r="I50" i="6"/>
  <c r="O50" i="6" s="1"/>
  <c r="I61" i="6"/>
  <c r="O61" i="6" s="1"/>
  <c r="O5" i="7" l="1"/>
  <c r="S14" i="10"/>
  <c r="S10" i="10"/>
</calcChain>
</file>

<file path=xl/sharedStrings.xml><?xml version="1.0" encoding="utf-8"?>
<sst xmlns="http://schemas.openxmlformats.org/spreadsheetml/2006/main" count="2448" uniqueCount="352">
  <si>
    <t>Expenses</t>
  </si>
  <si>
    <t>Budgeted</t>
  </si>
  <si>
    <t>Actual</t>
  </si>
  <si>
    <t>Status</t>
  </si>
  <si>
    <t>Amount Over</t>
  </si>
  <si>
    <t>Flights</t>
  </si>
  <si>
    <t>Accommodation</t>
  </si>
  <si>
    <t>Car</t>
  </si>
  <si>
    <t>Food</t>
  </si>
  <si>
    <t>Taxi</t>
  </si>
  <si>
    <t>First Name</t>
  </si>
  <si>
    <t>Surname</t>
  </si>
  <si>
    <t>Grade</t>
  </si>
  <si>
    <t>Hours</t>
  </si>
  <si>
    <t>FT/PT</t>
  </si>
  <si>
    <t>Salary</t>
  </si>
  <si>
    <t>Yrs Service</t>
  </si>
  <si>
    <t>Target</t>
  </si>
  <si>
    <t>Bonus</t>
  </si>
  <si>
    <t>Holiday</t>
  </si>
  <si>
    <t>Pension</t>
  </si>
  <si>
    <t xml:space="preserve">Alex </t>
  </si>
  <si>
    <t>Howard</t>
  </si>
  <si>
    <t>Not Met</t>
  </si>
  <si>
    <t>Brian</t>
  </si>
  <si>
    <t>Smith</t>
  </si>
  <si>
    <t>Met</t>
  </si>
  <si>
    <t>Carmel</t>
  </si>
  <si>
    <t>George</t>
  </si>
  <si>
    <t>Daniel</t>
  </si>
  <si>
    <t>Ellis</t>
  </si>
  <si>
    <t>David</t>
  </si>
  <si>
    <t>Jenkins</t>
  </si>
  <si>
    <t>Emma</t>
  </si>
  <si>
    <t>Turner</t>
  </si>
  <si>
    <t>John</t>
  </si>
  <si>
    <t>Michel</t>
  </si>
  <si>
    <t>n/a</t>
  </si>
  <si>
    <t>Kathryn</t>
  </si>
  <si>
    <t>Shail</t>
  </si>
  <si>
    <t xml:space="preserve">Kirsten </t>
  </si>
  <si>
    <t>Hampton</t>
  </si>
  <si>
    <t>Sally</t>
  </si>
  <si>
    <t>Morel</t>
  </si>
  <si>
    <t>Susan</t>
  </si>
  <si>
    <t>Bright</t>
  </si>
  <si>
    <t>Love</t>
  </si>
  <si>
    <t>Student No.</t>
  </si>
  <si>
    <t>Name</t>
  </si>
  <si>
    <t>Course</t>
  </si>
  <si>
    <t>Test Score</t>
  </si>
  <si>
    <t>Pass/Fail</t>
  </si>
  <si>
    <t>Trevor McDonald</t>
  </si>
  <si>
    <t>Multivariate Calculus</t>
  </si>
  <si>
    <t>John Keynes</t>
  </si>
  <si>
    <t>PHP Development</t>
  </si>
  <si>
    <t>Elizabeth David</t>
  </si>
  <si>
    <t>Ernest Hemingway</t>
  </si>
  <si>
    <t>Requirement Engineering</t>
  </si>
  <si>
    <t>Peter Sellers</t>
  </si>
  <si>
    <t>Software Engineering</t>
  </si>
  <si>
    <t>Grace Kelly</t>
  </si>
  <si>
    <t>Oscar Wild</t>
  </si>
  <si>
    <t>Jack Jones</t>
  </si>
  <si>
    <t>Rosa Parks</t>
  </si>
  <si>
    <t>Julie Andrews</t>
  </si>
  <si>
    <t>Computer Networks</t>
  </si>
  <si>
    <t>George Orwell</t>
  </si>
  <si>
    <t>Relational DBMS</t>
  </si>
  <si>
    <t>&gt;=</t>
  </si>
  <si>
    <t>Bill Oddie</t>
  </si>
  <si>
    <t>Distinction</t>
  </si>
  <si>
    <t>Merit</t>
  </si>
  <si>
    <t>Louis Pasteur</t>
  </si>
  <si>
    <t>Microsoft Dot Net Platform</t>
  </si>
  <si>
    <t>Pass</t>
  </si>
  <si>
    <t>Keith Floyd</t>
  </si>
  <si>
    <t>Data Communication</t>
  </si>
  <si>
    <t>Fail</t>
  </si>
  <si>
    <t>Emmeline Pankhurst</t>
  </si>
  <si>
    <t>Leo Tolstoy</t>
  </si>
  <si>
    <t>HTMI &amp; Scripting</t>
  </si>
  <si>
    <t>Ludwig Beethoven</t>
  </si>
  <si>
    <t>George Best</t>
  </si>
  <si>
    <t>John Paul</t>
  </si>
  <si>
    <t>Usain Bolt</t>
  </si>
  <si>
    <t>Nicolas Cage</t>
  </si>
  <si>
    <t>Mahatma Gandhi</t>
  </si>
  <si>
    <t>Software Architechture</t>
  </si>
  <si>
    <t>Hernry Ford</t>
  </si>
  <si>
    <t>Roger Federer</t>
  </si>
  <si>
    <t>Client Type</t>
  </si>
  <si>
    <t>Jurisdiction</t>
  </si>
  <si>
    <t>Director</t>
  </si>
  <si>
    <t>Admin</t>
  </si>
  <si>
    <t>Passport</t>
  </si>
  <si>
    <t>Utility Bill</t>
  </si>
  <si>
    <t>Signature</t>
  </si>
  <si>
    <t>Opening Bal</t>
  </si>
  <si>
    <t>Date Due</t>
  </si>
  <si>
    <t>Trust</t>
  </si>
  <si>
    <t>Brown</t>
  </si>
  <si>
    <t>CJ</t>
  </si>
  <si>
    <t>Yes</t>
  </si>
  <si>
    <t>YES</t>
  </si>
  <si>
    <t>NO</t>
  </si>
  <si>
    <t>REGISTERED OFF.</t>
  </si>
  <si>
    <t>JSY</t>
  </si>
  <si>
    <t>CMC</t>
  </si>
  <si>
    <t>Company</t>
  </si>
  <si>
    <t>Administration</t>
  </si>
  <si>
    <t>Cayman</t>
  </si>
  <si>
    <t>WALKERS</t>
  </si>
  <si>
    <t>Butels</t>
  </si>
  <si>
    <t>EF</t>
  </si>
  <si>
    <t>De La Haye</t>
  </si>
  <si>
    <t>US</t>
  </si>
  <si>
    <t>Fage</t>
  </si>
  <si>
    <t>Harker</t>
  </si>
  <si>
    <t>GSY</t>
  </si>
  <si>
    <t>KM</t>
  </si>
  <si>
    <t>Harper</t>
  </si>
  <si>
    <t>Hobbs</t>
  </si>
  <si>
    <t>AM</t>
  </si>
  <si>
    <t>Johnson</t>
  </si>
  <si>
    <t>LTD PARTNERSHIP</t>
  </si>
  <si>
    <t>Other</t>
  </si>
  <si>
    <t>Jones</t>
  </si>
  <si>
    <t>Le Riche</t>
  </si>
  <si>
    <t>Moore</t>
  </si>
  <si>
    <t>TD</t>
  </si>
  <si>
    <t>Moss</t>
  </si>
  <si>
    <t>Moyles</t>
  </si>
  <si>
    <t>Pane</t>
  </si>
  <si>
    <t>BVI</t>
  </si>
  <si>
    <t>Russia</t>
  </si>
  <si>
    <t>Steadman</t>
  </si>
  <si>
    <t>CDB</t>
  </si>
  <si>
    <t>Business Line</t>
  </si>
  <si>
    <t>Client</t>
  </si>
  <si>
    <t>Relationship Manager</t>
  </si>
  <si>
    <t>Amount Outstanding</t>
  </si>
  <si>
    <t>Invoice Date</t>
  </si>
  <si>
    <t>Consultancy</t>
  </si>
  <si>
    <t>Dandara</t>
  </si>
  <si>
    <t>Ana Smith</t>
  </si>
  <si>
    <t>Answers</t>
  </si>
  <si>
    <t>ABN-AMRO</t>
  </si>
  <si>
    <t>Boots</t>
  </si>
  <si>
    <t>Becky Jones</t>
  </si>
  <si>
    <t>Royal Bank of Canada</t>
  </si>
  <si>
    <t>4a</t>
  </si>
  <si>
    <t>Nedbank Private Wealth</t>
  </si>
  <si>
    <t>4b</t>
  </si>
  <si>
    <t>Walkers</t>
  </si>
  <si>
    <t>4c</t>
  </si>
  <si>
    <t>Voisins</t>
  </si>
  <si>
    <t>6a</t>
  </si>
  <si>
    <t>Black Trust</t>
  </si>
  <si>
    <t>6b</t>
  </si>
  <si>
    <t>Paul McGrath</t>
  </si>
  <si>
    <t>Managed Service</t>
  </si>
  <si>
    <t>6c</t>
  </si>
  <si>
    <t>Mary Blackmore</t>
  </si>
  <si>
    <t>&gt;3000</t>
  </si>
  <si>
    <t>Calligo</t>
  </si>
  <si>
    <t>SoJ</t>
  </si>
  <si>
    <t>James May</t>
  </si>
  <si>
    <t>Project Work</t>
  </si>
  <si>
    <t>EFG Offshore Limited</t>
  </si>
  <si>
    <t>Rathbones</t>
  </si>
  <si>
    <t>Jenny Atlass</t>
  </si>
  <si>
    <t>Karen Evans</t>
  </si>
  <si>
    <t>First Names</t>
  </si>
  <si>
    <t>Retail</t>
  </si>
  <si>
    <t>JT</t>
  </si>
  <si>
    <t>Capco Trust</t>
  </si>
  <si>
    <t>Airtel-Vodafone</t>
  </si>
  <si>
    <t>WHSmiths</t>
  </si>
  <si>
    <t>Minerva</t>
  </si>
  <si>
    <t>Steve Bellows</t>
  </si>
  <si>
    <t>END</t>
  </si>
  <si>
    <t>Flight Date</t>
  </si>
  <si>
    <t>Department</t>
  </si>
  <si>
    <t>Region</t>
  </si>
  <si>
    <t>From</t>
  </si>
  <si>
    <t>To</t>
  </si>
  <si>
    <t>Cost</t>
  </si>
  <si>
    <t>COUNT functions</t>
  </si>
  <si>
    <t>Amelia Wright</t>
  </si>
  <si>
    <t>HR</t>
  </si>
  <si>
    <t>Inter-Island</t>
  </si>
  <si>
    <t>Jersey</t>
  </si>
  <si>
    <t>Guernsey</t>
  </si>
  <si>
    <t>Blue Islands</t>
  </si>
  <si>
    <t>COUNTA</t>
  </si>
  <si>
    <t>How many trips have been taken?</t>
  </si>
  <si>
    <t>COUNTIF</t>
  </si>
  <si>
    <t>UK</t>
  </si>
  <si>
    <t>Gatwick</t>
  </si>
  <si>
    <t>EasyJet</t>
  </si>
  <si>
    <t>How many trips did the HR team take?</t>
  </si>
  <si>
    <t>How many trips to Guernsey were made?</t>
  </si>
  <si>
    <t>How many trips did Alex Wright go on?</t>
  </si>
  <si>
    <t>Alex Wright</t>
  </si>
  <si>
    <t>COUNTIFS</t>
  </si>
  <si>
    <t>How many trips to Jersey were made by people in the Sales team?</t>
  </si>
  <si>
    <t>Sales</t>
  </si>
  <si>
    <t xml:space="preserve">How many trips to Gatwick were made by people in the HR team? </t>
  </si>
  <si>
    <t>How many trips were flown by Blue Islands from Jersey?</t>
  </si>
  <si>
    <t>How many times did the Marketing team fly inter-island?</t>
  </si>
  <si>
    <t>Marketing</t>
  </si>
  <si>
    <t>Inter-island</t>
  </si>
  <si>
    <t>SUM functions</t>
  </si>
  <si>
    <t>SUM</t>
  </si>
  <si>
    <t>How much has been spent on travel</t>
  </si>
  <si>
    <t>Heathrow</t>
  </si>
  <si>
    <t>BA</t>
  </si>
  <si>
    <t>SUMIF</t>
  </si>
  <si>
    <t>How much did the Product Development team spend on travel?</t>
  </si>
  <si>
    <t>Product Development</t>
  </si>
  <si>
    <t>How much did the Finance department spend on travel?</t>
  </si>
  <si>
    <t>Finance</t>
  </si>
  <si>
    <t>How much did Daniel Hawson spend on travel?</t>
  </si>
  <si>
    <t>Daniel Hawson</t>
  </si>
  <si>
    <t>How much was spent travelling to Gatwick?</t>
  </si>
  <si>
    <t>SUMIFS</t>
  </si>
  <si>
    <t>How much was spent on travelling to Europe by the Sales team?</t>
  </si>
  <si>
    <t>Europe</t>
  </si>
  <si>
    <t>How much did Kirsten Morel spend travelling to Guernsey?</t>
  </si>
  <si>
    <t>Kirsten Morel</t>
  </si>
  <si>
    <t>How much did the Finance team spend travelling to Guernsey?</t>
  </si>
  <si>
    <t>AVERAGE functions</t>
  </si>
  <si>
    <t>AVERAGE</t>
  </si>
  <si>
    <t>What was the average amount spent on travel ?</t>
  </si>
  <si>
    <t>AVERAGEIF</t>
  </si>
  <si>
    <t>What was the average amount spent on travel by the HR team?</t>
  </si>
  <si>
    <t>What was the average amount spent on travel to Guernsey?</t>
  </si>
  <si>
    <t>What was the average amount spent on travel to the UK region?</t>
  </si>
  <si>
    <t>MODE</t>
  </si>
  <si>
    <t>What was the most frequent amount spent on travel?</t>
  </si>
  <si>
    <t>MAX &amp; MIN</t>
  </si>
  <si>
    <t>What was the most expensive flight</t>
  </si>
  <si>
    <t>What was the cheapest flight</t>
  </si>
  <si>
    <t>When was the first flight of the year?</t>
  </si>
  <si>
    <t>What was the last flight of the year?</t>
  </si>
  <si>
    <t>Emily Bradbury</t>
  </si>
  <si>
    <t>John Michel</t>
  </si>
  <si>
    <t>Amsterdam</t>
  </si>
  <si>
    <t>Dublin</t>
  </si>
  <si>
    <t>Keeley Stocks</t>
  </si>
  <si>
    <t>HEathrow</t>
  </si>
  <si>
    <t>Niamh O’Sullivan</t>
  </si>
  <si>
    <t>Training</t>
  </si>
  <si>
    <t>Aurigny</t>
  </si>
  <si>
    <t>Rachel James</t>
  </si>
  <si>
    <t>Sarah Harvey</t>
  </si>
  <si>
    <t>Southampton</t>
  </si>
  <si>
    <t>Steven Wilkes</t>
  </si>
  <si>
    <t>Overtime Hours</t>
  </si>
  <si>
    <t>Staff Info</t>
  </si>
  <si>
    <t>Day</t>
  </si>
  <si>
    <t>Date</t>
  </si>
  <si>
    <t>Staff No.</t>
  </si>
  <si>
    <t>Contract</t>
  </si>
  <si>
    <t>Hours Worked (Standard)</t>
  </si>
  <si>
    <t>Over Time</t>
  </si>
  <si>
    <t>A MCDONALD</t>
  </si>
  <si>
    <t>A MACLEAN</t>
  </si>
  <si>
    <t>Business Dev</t>
  </si>
  <si>
    <t>A THELLAND</t>
  </si>
  <si>
    <t>Legal</t>
  </si>
  <si>
    <t>A VYE</t>
  </si>
  <si>
    <t>Operations</t>
  </si>
  <si>
    <t>&lt;=5</t>
  </si>
  <si>
    <t>A WRIGHT</t>
  </si>
  <si>
    <t>&gt;0</t>
  </si>
  <si>
    <t>B HASSEL</t>
  </si>
  <si>
    <t>Compliance</t>
  </si>
  <si>
    <t>&gt;=6</t>
  </si>
  <si>
    <t>B WILSON</t>
  </si>
  <si>
    <t>C GREEN</t>
  </si>
  <si>
    <t>Wed</t>
  </si>
  <si>
    <t>C DE SOUSA</t>
  </si>
  <si>
    <t>C DE FREITAS</t>
  </si>
  <si>
    <t>C LE HURAY</t>
  </si>
  <si>
    <t>Co Sec</t>
  </si>
  <si>
    <t>C MANN</t>
  </si>
  <si>
    <t>Fri</t>
  </si>
  <si>
    <t>C MORRIS</t>
  </si>
  <si>
    <t>C YATES</t>
  </si>
  <si>
    <t>A Wright</t>
  </si>
  <si>
    <t>D BROWN</t>
  </si>
  <si>
    <t>D ELLIS</t>
  </si>
  <si>
    <t>&gt;=5</t>
  </si>
  <si>
    <t>&gt;=38</t>
  </si>
  <si>
    <t>&gt;=9</t>
  </si>
  <si>
    <t>DATE REC'D</t>
  </si>
  <si>
    <t>COST OF TICKETS</t>
  </si>
  <si>
    <t>FIRST NAME</t>
  </si>
  <si>
    <t>SURNAME</t>
  </si>
  <si>
    <t>NO OF GUESTS</t>
  </si>
  <si>
    <t xml:space="preserve">DONATION </t>
  </si>
  <si>
    <t>NO OF VEGETARIANS</t>
  </si>
  <si>
    <t>REQUIRE TRANSPORT?</t>
  </si>
  <si>
    <t>TICKETS SENT?</t>
  </si>
  <si>
    <t>Own table?</t>
  </si>
  <si>
    <t>JAMES</t>
  </si>
  <si>
    <t>BROWN</t>
  </si>
  <si>
    <t>SALES</t>
  </si>
  <si>
    <t>HUGH</t>
  </si>
  <si>
    <t>MORRIS</t>
  </si>
  <si>
    <t>R&amp;D</t>
  </si>
  <si>
    <t>SIMON</t>
  </si>
  <si>
    <t>MANTLE</t>
  </si>
  <si>
    <t>MARY</t>
  </si>
  <si>
    <t>HOPKINS</t>
  </si>
  <si>
    <t>SASHA</t>
  </si>
  <si>
    <t>TURNER</t>
  </si>
  <si>
    <t>ADMIN</t>
  </si>
  <si>
    <t>THOMAS</t>
  </si>
  <si>
    <t>MOREL</t>
  </si>
  <si>
    <t>BRIDGET</t>
  </si>
  <si>
    <t>SIMONS</t>
  </si>
  <si>
    <t>CATHY</t>
  </si>
  <si>
    <t>MICHEL</t>
  </si>
  <si>
    <t>No</t>
  </si>
  <si>
    <t>BRYAN</t>
  </si>
  <si>
    <t>MARTIN</t>
  </si>
  <si>
    <t>JB</t>
  </si>
  <si>
    <t>LE BOIS</t>
  </si>
  <si>
    <t>KIRSTEN</t>
  </si>
  <si>
    <t>DE SOUSA</t>
  </si>
  <si>
    <t>ALEX</t>
  </si>
  <si>
    <t>GATELY</t>
  </si>
  <si>
    <t>ELEANOR</t>
  </si>
  <si>
    <t>MASON</t>
  </si>
  <si>
    <t>LEGAL</t>
  </si>
  <si>
    <t>KATHRYN</t>
  </si>
  <si>
    <t>HART</t>
  </si>
  <si>
    <t>BOB</t>
  </si>
  <si>
    <t>WINTER</t>
  </si>
  <si>
    <t>JAMIE</t>
  </si>
  <si>
    <t>BRUNS</t>
  </si>
  <si>
    <t>FINANCE</t>
  </si>
  <si>
    <t>SUSAN</t>
  </si>
  <si>
    <t>MORTLEY</t>
  </si>
  <si>
    <t>SHEILA</t>
  </si>
  <si>
    <t>SANTOS</t>
  </si>
  <si>
    <t>ANN</t>
  </si>
  <si>
    <t>FOLKES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</si>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</sst>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£&quot;#,##0.00;[Red]\-&quot;£&quot;#,##0.00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_-* #,##0_-;\-* #,##0_-;_-* &quot;-&quot;??_-;_-@_-"/>
    <numFmt numFmtId="168" formatCode="_-[$£-809]* #,##0.00_-;\-[$£-809]* #,##0.00_-;_-[$£-809]* &quot;-&quot;??_-;_-@_-"/>
    <numFmt numFmtId="169" formatCode="ddd"/>
  </numFmts>
  <fonts count="2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color rgb="FF000000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b/>
      <sz val="10"/>
      <color rgb="FFFF0000"/>
      <name val="Century Gothic"/>
      <family val="2"/>
    </font>
    <font>
      <sz val="10"/>
      <color rgb="FFFF0000"/>
      <name val="Century Gothic"/>
      <family val="2"/>
    </font>
    <font>
      <sz val="11"/>
      <color indexed="56"/>
      <name val="Calibri"/>
      <family val="2"/>
    </font>
    <font>
      <sz val="11"/>
      <color indexed="8"/>
      <name val="Calibri"/>
      <family val="2"/>
    </font>
    <font>
      <b/>
      <sz val="11"/>
      <color indexed="56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rebuchet MS"/>
      <family val="2"/>
    </font>
    <font>
      <sz val="10"/>
      <name val="Trebuchet MS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5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2">
    <xf numFmtId="0" fontId="0" fillId="0" borderId="0"/>
    <xf numFmtId="166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4" fillId="0" borderId="0"/>
    <xf numFmtId="0" fontId="7" fillId="0" borderId="0"/>
    <xf numFmtId="166" fontId="7" fillId="0" borderId="0" applyFont="0" applyFill="0" applyBorder="0" applyAlignment="0" applyProtection="0"/>
    <xf numFmtId="165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0" fontId="2" fillId="0" borderId="0"/>
    <xf numFmtId="166" fontId="7" fillId="0" borderId="0" applyFont="0" applyFill="0" applyBorder="0" applyAlignment="0" applyProtection="0"/>
  </cellStyleXfs>
  <cellXfs count="171">
    <xf numFmtId="0" fontId="0" fillId="0" borderId="0" xfId="0"/>
    <xf numFmtId="0" fontId="4" fillId="0" borderId="0" xfId="3"/>
    <xf numFmtId="0" fontId="6" fillId="6" borderId="0" xfId="3" applyFont="1" applyFill="1"/>
    <xf numFmtId="0" fontId="6" fillId="0" borderId="0" xfId="3" applyFont="1"/>
    <xf numFmtId="0" fontId="4" fillId="0" borderId="21" xfId="3" applyBorder="1"/>
    <xf numFmtId="164" fontId="4" fillId="0" borderId="0" xfId="3" applyNumberFormat="1"/>
    <xf numFmtId="14" fontId="4" fillId="0" borderId="22" xfId="3" applyNumberFormat="1" applyBorder="1"/>
    <xf numFmtId="14" fontId="4" fillId="0" borderId="0" xfId="3" applyNumberFormat="1"/>
    <xf numFmtId="0" fontId="4" fillId="0" borderId="23" xfId="3" applyBorder="1"/>
    <xf numFmtId="0" fontId="4" fillId="0" borderId="1" xfId="3" applyBorder="1"/>
    <xf numFmtId="164" fontId="4" fillId="0" borderId="1" xfId="3" applyNumberFormat="1" applyBorder="1"/>
    <xf numFmtId="0" fontId="15" fillId="7" borderId="1" xfId="3" applyFont="1" applyFill="1" applyBorder="1" applyAlignment="1">
      <alignment horizontal="center" wrapText="1"/>
    </xf>
    <xf numFmtId="0" fontId="15" fillId="0" borderId="0" xfId="3" applyFont="1" applyAlignment="1">
      <alignment wrapText="1"/>
    </xf>
    <xf numFmtId="165" fontId="16" fillId="0" borderId="0" xfId="6"/>
    <xf numFmtId="0" fontId="4" fillId="0" borderId="0" xfId="3" applyAlignment="1">
      <alignment horizontal="center"/>
    </xf>
    <xf numFmtId="0" fontId="4" fillId="0" borderId="4" xfId="3" applyBorder="1"/>
    <xf numFmtId="0" fontId="4" fillId="0" borderId="24" xfId="3" applyBorder="1"/>
    <xf numFmtId="0" fontId="4" fillId="3" borderId="4" xfId="3" applyFill="1" applyBorder="1"/>
    <xf numFmtId="0" fontId="4" fillId="0" borderId="11" xfId="3" applyBorder="1"/>
    <xf numFmtId="0" fontId="17" fillId="0" borderId="0" xfId="3" applyFont="1"/>
    <xf numFmtId="14" fontId="17" fillId="0" borderId="0" xfId="3" applyNumberFormat="1" applyFont="1"/>
    <xf numFmtId="0" fontId="17" fillId="0" borderId="0" xfId="3" applyFont="1" applyAlignment="1">
      <alignment wrapText="1"/>
    </xf>
    <xf numFmtId="169" fontId="18" fillId="0" borderId="0" xfId="3" applyNumberFormat="1" applyFont="1"/>
    <xf numFmtId="14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18" fillId="0" borderId="0" xfId="3" applyFont="1" applyAlignment="1">
      <alignment horizontal="left"/>
    </xf>
    <xf numFmtId="14" fontId="18" fillId="0" borderId="0" xfId="3" applyNumberFormat="1" applyFont="1"/>
    <xf numFmtId="166" fontId="18" fillId="0" borderId="0" xfId="7" applyFont="1" applyAlignment="1">
      <alignment horizontal="center"/>
    </xf>
    <xf numFmtId="166" fontId="18" fillId="0" borderId="0" xfId="7" applyFont="1"/>
    <xf numFmtId="49" fontId="18" fillId="0" borderId="0" xfId="3" applyNumberFormat="1" applyFont="1" applyAlignment="1">
      <alignment horizontal="center"/>
    </xf>
    <xf numFmtId="0" fontId="20" fillId="0" borderId="0" xfId="3" applyFont="1" applyAlignment="1">
      <alignment horizontal="center"/>
    </xf>
    <xf numFmtId="0" fontId="20" fillId="9" borderId="1" xfId="3" applyFont="1" applyFill="1" applyBorder="1" applyAlignment="1">
      <alignment horizontal="center" vertical="center" wrapText="1"/>
    </xf>
    <xf numFmtId="0" fontId="21" fillId="9" borderId="1" xfId="3" applyFont="1" applyFill="1" applyBorder="1" applyAlignment="1">
      <alignment horizontal="center" vertical="center" wrapText="1"/>
    </xf>
    <xf numFmtId="166" fontId="21" fillId="9" borderId="1" xfId="7" applyFont="1" applyFill="1" applyBorder="1" applyAlignment="1">
      <alignment horizontal="center" vertical="center" wrapText="1"/>
    </xf>
    <xf numFmtId="167" fontId="4" fillId="0" borderId="21" xfId="3" applyNumberFormat="1" applyBorder="1"/>
    <xf numFmtId="167" fontId="4" fillId="0" borderId="0" xfId="3" applyNumberFormat="1"/>
    <xf numFmtId="166" fontId="20" fillId="0" borderId="0" xfId="7" applyFont="1"/>
    <xf numFmtId="0" fontId="18" fillId="9" borderId="0" xfId="3" applyFont="1" applyFill="1" applyAlignment="1">
      <alignment horizontal="left"/>
    </xf>
    <xf numFmtId="0" fontId="4" fillId="9" borderId="0" xfId="3" applyFill="1"/>
    <xf numFmtId="0" fontId="5" fillId="0" borderId="0" xfId="3" applyFont="1"/>
    <xf numFmtId="166" fontId="4" fillId="0" borderId="0" xfId="3" applyNumberFormat="1"/>
    <xf numFmtId="167" fontId="4" fillId="0" borderId="23" xfId="3" applyNumberFormat="1" applyBorder="1"/>
    <xf numFmtId="167" fontId="4" fillId="0" borderId="1" xfId="3" applyNumberFormat="1" applyBorder="1"/>
    <xf numFmtId="0" fontId="20" fillId="0" borderId="0" xfId="3" applyFont="1" applyAlignment="1">
      <alignment horizontal="center" vertical="center" wrapText="1"/>
    </xf>
    <xf numFmtId="0" fontId="20" fillId="0" borderId="0" xfId="3" applyFont="1" applyAlignment="1">
      <alignment horizontal="left"/>
    </xf>
    <xf numFmtId="0" fontId="18" fillId="0" borderId="0" xfId="3" applyFont="1"/>
    <xf numFmtId="0" fontId="5" fillId="8" borderId="0" xfId="3" applyFont="1" applyFill="1"/>
    <xf numFmtId="0" fontId="24" fillId="14" borderId="5" xfId="3" applyFont="1" applyFill="1" applyBorder="1"/>
    <xf numFmtId="0" fontId="24" fillId="14" borderId="2" xfId="3" applyFont="1" applyFill="1" applyBorder="1"/>
    <xf numFmtId="0" fontId="24" fillId="14" borderId="3" xfId="3" applyFont="1" applyFill="1" applyBorder="1"/>
    <xf numFmtId="14" fontId="23" fillId="15" borderId="1" xfId="3" applyNumberFormat="1" applyFont="1" applyFill="1" applyBorder="1" applyAlignment="1">
      <alignment horizontal="center" vertical="center" wrapText="1"/>
    </xf>
    <xf numFmtId="49" fontId="23" fillId="15" borderId="1" xfId="3" applyNumberFormat="1" applyFont="1" applyFill="1" applyBorder="1" applyAlignment="1">
      <alignment horizontal="center" vertical="center" wrapText="1"/>
    </xf>
    <xf numFmtId="0" fontId="23" fillId="15" borderId="1" xfId="3" applyFont="1" applyFill="1" applyBorder="1" applyAlignment="1">
      <alignment horizontal="center" vertical="center" wrapText="1"/>
    </xf>
    <xf numFmtId="166" fontId="23" fillId="15" borderId="1" xfId="7" applyFont="1" applyFill="1" applyBorder="1" applyAlignment="1">
      <alignment horizontal="center" vertical="center" wrapText="1"/>
    </xf>
    <xf numFmtId="166" fontId="22" fillId="15" borderId="5" xfId="3" applyNumberFormat="1" applyFont="1" applyFill="1" applyBorder="1"/>
    <xf numFmtId="166" fontId="22" fillId="15" borderId="2" xfId="3" applyNumberFormat="1" applyFont="1" applyFill="1" applyBorder="1"/>
    <xf numFmtId="166" fontId="22" fillId="15" borderId="4" xfId="3" applyNumberFormat="1" applyFont="1" applyFill="1" applyBorder="1"/>
    <xf numFmtId="0" fontId="19" fillId="15" borderId="0" xfId="3" applyFont="1" applyFill="1"/>
    <xf numFmtId="0" fontId="6" fillId="6" borderId="0" xfId="3" applyFont="1" applyFill="1" applyAlignment="1">
      <alignment horizontal="center"/>
    </xf>
    <xf numFmtId="165" fontId="4" fillId="3" borderId="4" xfId="3" applyNumberFormat="1" applyFill="1" applyBorder="1"/>
    <xf numFmtId="0" fontId="18" fillId="0" borderId="0" xfId="0" applyFont="1"/>
    <xf numFmtId="0" fontId="18" fillId="0" borderId="6" xfId="0" applyFont="1" applyBorder="1"/>
    <xf numFmtId="0" fontId="18" fillId="0" borderId="7" xfId="0" applyFont="1" applyBorder="1"/>
    <xf numFmtId="166" fontId="18" fillId="0" borderId="7" xfId="1" applyFont="1" applyBorder="1"/>
    <xf numFmtId="14" fontId="18" fillId="0" borderId="7" xfId="0" applyNumberFormat="1" applyFont="1" applyBorder="1"/>
    <xf numFmtId="0" fontId="18" fillId="0" borderId="4" xfId="0" applyFont="1" applyBorder="1"/>
    <xf numFmtId="4" fontId="18" fillId="0" borderId="8" xfId="0" applyNumberFormat="1" applyFont="1" applyBorder="1"/>
    <xf numFmtId="4" fontId="18" fillId="0" borderId="0" xfId="0" applyNumberFormat="1" applyFont="1"/>
    <xf numFmtId="166" fontId="18" fillId="0" borderId="0" xfId="1" applyFont="1"/>
    <xf numFmtId="14" fontId="18" fillId="0" borderId="0" xfId="0" applyNumberFormat="1" applyFont="1"/>
    <xf numFmtId="0" fontId="18" fillId="0" borderId="5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166" fontId="18" fillId="12" borderId="4" xfId="0" applyNumberFormat="1" applyFont="1" applyFill="1" applyBorder="1"/>
    <xf numFmtId="0" fontId="18" fillId="0" borderId="8" xfId="0" applyFont="1" applyBorder="1"/>
    <xf numFmtId="166" fontId="18" fillId="12" borderId="4" xfId="1" applyFont="1" applyFill="1" applyBorder="1"/>
    <xf numFmtId="0" fontId="18" fillId="0" borderId="5" xfId="0" applyFont="1" applyBorder="1" applyAlignment="1">
      <alignment horizontal="left"/>
    </xf>
    <xf numFmtId="0" fontId="18" fillId="12" borderId="4" xfId="1" applyNumberFormat="1" applyFont="1" applyFill="1" applyBorder="1"/>
    <xf numFmtId="4" fontId="18" fillId="0" borderId="4" xfId="0" applyNumberFormat="1" applyFont="1" applyBorder="1"/>
    <xf numFmtId="14" fontId="18" fillId="12" borderId="4" xfId="1" applyNumberFormat="1" applyFont="1" applyFill="1" applyBorder="1"/>
    <xf numFmtId="166" fontId="18" fillId="0" borderId="0" xfId="1" applyFont="1" applyBorder="1"/>
    <xf numFmtId="0" fontId="18" fillId="0" borderId="0" xfId="0" applyFont="1" applyAlignment="1">
      <alignment vertical="center"/>
    </xf>
    <xf numFmtId="0" fontId="18" fillId="15" borderId="0" xfId="0" applyFont="1" applyFill="1" applyAlignment="1">
      <alignment horizontal="center" vertical="center"/>
    </xf>
    <xf numFmtId="0" fontId="18" fillId="15" borderId="0" xfId="0" applyFont="1" applyFill="1" applyAlignment="1">
      <alignment horizontal="center" vertical="center" wrapText="1"/>
    </xf>
    <xf numFmtId="166" fontId="18" fillId="15" borderId="0" xfId="1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22" fillId="13" borderId="0" xfId="0" applyFont="1" applyFill="1" applyAlignment="1">
      <alignment vertical="center"/>
    </xf>
    <xf numFmtId="0" fontId="22" fillId="13" borderId="0" xfId="0" applyFont="1" applyFill="1" applyAlignment="1">
      <alignment horizontal="center" vertical="center"/>
    </xf>
    <xf numFmtId="165" fontId="22" fillId="13" borderId="0" xfId="0" applyNumberFormat="1" applyFont="1" applyFill="1" applyAlignment="1">
      <alignment vertical="center"/>
    </xf>
    <xf numFmtId="168" fontId="18" fillId="0" borderId="0" xfId="0" applyNumberFormat="1" applyFont="1" applyAlignment="1">
      <alignment vertical="center"/>
    </xf>
    <xf numFmtId="165" fontId="18" fillId="0" borderId="0" xfId="2" applyFont="1" applyAlignment="1">
      <alignment vertical="center"/>
    </xf>
    <xf numFmtId="165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 wrapText="1"/>
    </xf>
    <xf numFmtId="0" fontId="25" fillId="2" borderId="4" xfId="0" applyFont="1" applyFill="1" applyBorder="1" applyAlignment="1">
      <alignment vertical="center"/>
    </xf>
    <xf numFmtId="0" fontId="25" fillId="2" borderId="4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25" fillId="2" borderId="5" xfId="0" applyFont="1" applyFill="1" applyBorder="1" applyAlignment="1">
      <alignment vertical="center"/>
    </xf>
    <xf numFmtId="0" fontId="25" fillId="2" borderId="3" xfId="0" applyFont="1" applyFill="1" applyBorder="1" applyAlignment="1">
      <alignment vertical="center"/>
    </xf>
    <xf numFmtId="0" fontId="26" fillId="0" borderId="4" xfId="0" applyFont="1" applyBorder="1" applyAlignment="1">
      <alignment vertical="center" wrapText="1"/>
    </xf>
    <xf numFmtId="0" fontId="12" fillId="4" borderId="4" xfId="4" applyFont="1" applyFill="1" applyBorder="1" applyAlignment="1">
      <alignment vertical="center"/>
    </xf>
    <xf numFmtId="0" fontId="12" fillId="4" borderId="5" xfId="4" applyFont="1" applyFill="1" applyBorder="1" applyAlignment="1">
      <alignment vertical="center"/>
    </xf>
    <xf numFmtId="0" fontId="12" fillId="3" borderId="26" xfId="4" applyFont="1" applyFill="1" applyBorder="1" applyAlignment="1">
      <alignment vertical="center"/>
    </xf>
    <xf numFmtId="0" fontId="12" fillId="3" borderId="27" xfId="4" applyFont="1" applyFill="1" applyBorder="1" applyAlignment="1">
      <alignment vertical="center"/>
    </xf>
    <xf numFmtId="0" fontId="12" fillId="3" borderId="28" xfId="4" applyFont="1" applyFill="1" applyBorder="1" applyAlignment="1">
      <alignment vertical="center"/>
    </xf>
    <xf numFmtId="0" fontId="12" fillId="4" borderId="19" xfId="4" applyFont="1" applyFill="1" applyBorder="1" applyAlignment="1">
      <alignment vertical="center"/>
    </xf>
    <xf numFmtId="0" fontId="12" fillId="4" borderId="29" xfId="4" applyFont="1" applyFill="1" applyBorder="1" applyAlignment="1">
      <alignment vertical="center"/>
    </xf>
    <xf numFmtId="166" fontId="12" fillId="3" borderId="25" xfId="4" applyNumberFormat="1" applyFont="1" applyFill="1" applyBorder="1" applyAlignment="1">
      <alignment vertical="center"/>
    </xf>
    <xf numFmtId="166" fontId="12" fillId="3" borderId="26" xfId="1" applyFont="1" applyFill="1" applyBorder="1" applyAlignment="1">
      <alignment vertical="center"/>
    </xf>
    <xf numFmtId="166" fontId="12" fillId="3" borderId="27" xfId="1" applyFont="1" applyFill="1" applyBorder="1" applyAlignment="1">
      <alignment vertical="center"/>
    </xf>
    <xf numFmtId="166" fontId="12" fillId="3" borderId="28" xfId="1" applyFont="1" applyFill="1" applyBorder="1" applyAlignment="1">
      <alignment vertical="center"/>
    </xf>
    <xf numFmtId="166" fontId="12" fillId="3" borderId="25" xfId="1" applyFont="1" applyFill="1" applyBorder="1" applyAlignment="1">
      <alignment vertical="center"/>
    </xf>
    <xf numFmtId="166" fontId="12" fillId="3" borderId="26" xfId="4" applyNumberFormat="1" applyFont="1" applyFill="1" applyBorder="1" applyAlignment="1">
      <alignment vertical="center"/>
    </xf>
    <xf numFmtId="166" fontId="12" fillId="3" borderId="27" xfId="4" applyNumberFormat="1" applyFont="1" applyFill="1" applyBorder="1" applyAlignment="1">
      <alignment vertical="center"/>
    </xf>
    <xf numFmtId="14" fontId="12" fillId="3" borderId="27" xfId="4" applyNumberFormat="1" applyFont="1" applyFill="1" applyBorder="1" applyAlignment="1">
      <alignment vertical="center"/>
    </xf>
    <xf numFmtId="14" fontId="12" fillId="3" borderId="28" xfId="4" applyNumberFormat="1" applyFont="1" applyFill="1" applyBorder="1" applyAlignment="1">
      <alignment vertical="center"/>
    </xf>
    <xf numFmtId="0" fontId="8" fillId="16" borderId="10" xfId="4" applyFont="1" applyFill="1" applyBorder="1"/>
    <xf numFmtId="0" fontId="8" fillId="16" borderId="4" xfId="4" applyFont="1" applyFill="1" applyBorder="1"/>
    <xf numFmtId="166" fontId="8" fillId="16" borderId="4" xfId="5" applyFont="1" applyFill="1" applyBorder="1"/>
    <xf numFmtId="166" fontId="8" fillId="10" borderId="13" xfId="5" applyFont="1" applyFill="1" applyBorder="1"/>
    <xf numFmtId="166" fontId="8" fillId="10" borderId="14" xfId="5" applyFont="1" applyFill="1" applyBorder="1" applyAlignment="1">
      <alignment horizontal="center"/>
    </xf>
    <xf numFmtId="0" fontId="9" fillId="0" borderId="0" xfId="4" applyFont="1"/>
    <xf numFmtId="14" fontId="10" fillId="0" borderId="15" xfId="4" applyNumberFormat="1" applyFont="1" applyBorder="1"/>
    <xf numFmtId="0" fontId="10" fillId="0" borderId="4" xfId="4" applyFont="1" applyBorder="1"/>
    <xf numFmtId="166" fontId="10" fillId="0" borderId="16" xfId="5" applyFont="1" applyBorder="1" applyAlignment="1">
      <alignment horizontal="right"/>
    </xf>
    <xf numFmtId="166" fontId="10" fillId="0" borderId="0" xfId="5" applyFont="1" applyAlignment="1">
      <alignment horizontal="right"/>
    </xf>
    <xf numFmtId="0" fontId="11" fillId="4" borderId="7" xfId="4" applyFont="1" applyFill="1" applyBorder="1" applyAlignment="1">
      <alignment horizontal="left"/>
    </xf>
    <xf numFmtId="0" fontId="12" fillId="4" borderId="20" xfId="4" applyFont="1" applyFill="1" applyBorder="1"/>
    <xf numFmtId="0" fontId="12" fillId="0" borderId="0" xfId="4" applyFont="1"/>
    <xf numFmtId="14" fontId="12" fillId="0" borderId="15" xfId="4" applyNumberFormat="1" applyFont="1" applyBorder="1"/>
    <xf numFmtId="0" fontId="12" fillId="0" borderId="4" xfId="4" applyFont="1" applyBorder="1"/>
    <xf numFmtId="166" fontId="12" fillId="0" borderId="16" xfId="5" applyFont="1" applyBorder="1"/>
    <xf numFmtId="166" fontId="12" fillId="0" borderId="0" xfId="5" applyFont="1"/>
    <xf numFmtId="0" fontId="12" fillId="4" borderId="8" xfId="4" applyFont="1" applyFill="1" applyBorder="1"/>
    <xf numFmtId="0" fontId="12" fillId="4" borderId="0" xfId="4" applyFont="1" applyFill="1"/>
    <xf numFmtId="0" fontId="12" fillId="3" borderId="25" xfId="4" applyFont="1" applyFill="1" applyBorder="1"/>
    <xf numFmtId="0" fontId="12" fillId="4" borderId="18" xfId="4" applyFont="1" applyFill="1" applyBorder="1"/>
    <xf numFmtId="0" fontId="12" fillId="4" borderId="9" xfId="4" applyFont="1" applyFill="1" applyBorder="1"/>
    <xf numFmtId="166" fontId="8" fillId="10" borderId="7" xfId="5" applyFont="1" applyFill="1" applyBorder="1"/>
    <xf numFmtId="166" fontId="8" fillId="10" borderId="20" xfId="5" applyFont="1" applyFill="1" applyBorder="1" applyAlignment="1">
      <alignment horizontal="center"/>
    </xf>
    <xf numFmtId="0" fontId="11" fillId="11" borderId="13" xfId="4" applyFont="1" applyFill="1" applyBorder="1"/>
    <xf numFmtId="0" fontId="11" fillId="11" borderId="14" xfId="4" applyFont="1" applyFill="1" applyBorder="1" applyAlignment="1">
      <alignment horizontal="center"/>
    </xf>
    <xf numFmtId="0" fontId="11" fillId="0" borderId="8" xfId="4" applyFont="1" applyBorder="1"/>
    <xf numFmtId="0" fontId="12" fillId="0" borderId="17" xfId="4" applyFont="1" applyBorder="1"/>
    <xf numFmtId="0" fontId="12" fillId="0" borderId="8" xfId="4" applyFont="1" applyBorder="1"/>
    <xf numFmtId="0" fontId="12" fillId="0" borderId="18" xfId="4" applyFont="1" applyBorder="1"/>
    <xf numFmtId="0" fontId="12" fillId="0" borderId="9" xfId="4" applyFont="1" applyBorder="1"/>
    <xf numFmtId="0" fontId="13" fillId="0" borderId="0" xfId="4" applyFont="1"/>
    <xf numFmtId="166" fontId="13" fillId="0" borderId="0" xfId="5" applyFont="1"/>
    <xf numFmtId="0" fontId="14" fillId="0" borderId="0" xfId="4" applyFont="1"/>
    <xf numFmtId="0" fontId="11" fillId="0" borderId="0" xfId="4" applyFont="1"/>
    <xf numFmtId="0" fontId="10" fillId="0" borderId="0" xfId="4" applyFont="1"/>
    <xf numFmtId="0" fontId="10" fillId="5" borderId="0" xfId="4" applyFont="1" applyFill="1"/>
    <xf numFmtId="0" fontId="12" fillId="5" borderId="0" xfId="4" applyFont="1" applyFill="1"/>
    <xf numFmtId="0" fontId="6" fillId="17" borderId="4" xfId="3" applyFont="1" applyFill="1" applyBorder="1" applyAlignment="1">
      <alignment horizontal="center" vertical="center"/>
    </xf>
    <xf numFmtId="0" fontId="1" fillId="0" borderId="0" xfId="3" applyFont="1"/>
    <xf numFmtId="0" fontId="11" fillId="4" borderId="6" xfId="4" applyFont="1" applyFill="1" applyBorder="1" applyAlignment="1">
      <alignment horizontal="left"/>
    </xf>
    <xf numFmtId="0" fontId="11" fillId="4" borderId="7" xfId="4" applyFont="1" applyFill="1" applyBorder="1" applyAlignment="1">
      <alignment horizontal="left"/>
    </xf>
    <xf numFmtId="0" fontId="11" fillId="4" borderId="20" xfId="4" applyFont="1" applyFill="1" applyBorder="1" applyAlignment="1">
      <alignment horizontal="left"/>
    </xf>
    <xf numFmtId="166" fontId="8" fillId="10" borderId="12" xfId="5" applyFont="1" applyFill="1" applyBorder="1" applyAlignment="1">
      <alignment horizontal="center"/>
    </xf>
    <xf numFmtId="166" fontId="8" fillId="10" borderId="13" xfId="5" applyFont="1" applyFill="1" applyBorder="1" applyAlignment="1">
      <alignment horizontal="center"/>
    </xf>
    <xf numFmtId="0" fontId="11" fillId="4" borderId="8" xfId="4" applyFont="1" applyFill="1" applyBorder="1" applyAlignment="1">
      <alignment horizontal="left"/>
    </xf>
    <xf numFmtId="0" fontId="11" fillId="4" borderId="0" xfId="4" applyFont="1" applyFill="1" applyAlignment="1">
      <alignment horizontal="left"/>
    </xf>
    <xf numFmtId="0" fontId="11" fillId="4" borderId="17" xfId="4" applyFont="1" applyFill="1" applyBorder="1" applyAlignment="1">
      <alignment horizontal="left"/>
    </xf>
    <xf numFmtId="0" fontId="17" fillId="0" borderId="0" xfId="3" applyFont="1" applyAlignment="1">
      <alignment horizontal="left"/>
    </xf>
    <xf numFmtId="0" fontId="7" fillId="0" borderId="0" xfId="0" applyFont="1"/>
    <xf numFmtId="167" fontId="1" fillId="0" borderId="0" xfId="3" applyNumberFormat="1" applyFont="1"/>
    <xf numFmtId="166" fontId="1" fillId="3" borderId="4" xfId="1" applyFont="1" applyFill="1" applyBorder="1"/>
    <xf numFmtId="0" fontId="1" fillId="0" borderId="4" xfId="3" applyFont="1" applyBorder="1"/>
  </cellXfs>
  <cellStyles count="12">
    <cellStyle name="Comma" xfId="1" builtinId="3"/>
    <cellStyle name="Comma 2" xfId="7" xr:uid="{2BA5420E-98B5-45C1-92B1-754B5084DCA2}"/>
    <cellStyle name="Comma 2 2" xfId="5" xr:uid="{9EB5CFB3-133C-46C6-BAD8-0155499960AE}"/>
    <cellStyle name="Comma 3" xfId="9" xr:uid="{7C46CCC7-B12F-438F-8074-94DCEAB85E88}"/>
    <cellStyle name="Comma 3 2" xfId="11" xr:uid="{D8C57EF9-0D5F-498E-A0BA-F3AED0739EB6}"/>
    <cellStyle name="Currency" xfId="2" builtinId="4"/>
    <cellStyle name="Currency 2" xfId="6" xr:uid="{C2A0ACAA-9469-4D98-B144-546A65F25D0C}"/>
    <cellStyle name="Normal" xfId="0" builtinId="0"/>
    <cellStyle name="Normal 2" xfId="3" xr:uid="{B347D75B-62D1-4073-89B1-881626ACD1EC}"/>
    <cellStyle name="Normal 2 2" xfId="10" xr:uid="{50B55E11-BAB4-4925-A9F2-35940428E49C}"/>
    <cellStyle name="Normal 3" xfId="8" xr:uid="{E6964BBB-263F-4562-A04D-F92061AD27D0}"/>
    <cellStyle name="Normal 4 2" xfId="4" xr:uid="{075409D0-86A3-47E3-9BCB-AC16F0271198}"/>
  </cellStyles>
  <dxfs count="17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-&quot;£&quot;* #,##0.00_-;\-&quot;£&quot;* #,##0.00_-;_-&quot;£&quot;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-&quot;£&quot;* #,##0.00_-;\-&quot;£&quot;* #,##0.00_-;_-&quot;£&quot;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-&quot;£&quot;* #,##0.00_-;\-&quot;£&quot;* #,##0.00_-;_-&quot;£&quot;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 tint="-0.14996795556505021"/>
        </patternFill>
      </fill>
      <border diagonalUp="0" diagonalDown="0">
        <left/>
        <right/>
        <top style="mediumDashed">
          <color auto="1"/>
        </top>
        <bottom style="thick">
          <color auto="1"/>
        </bottom>
        <vertical/>
        <horizontal/>
      </border>
    </dxf>
    <dxf>
      <fill>
        <patternFill>
          <bgColor rgb="FF00B0F0"/>
        </patternFill>
      </fill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3" xr9:uid="{6DFE3879-0B09-4A88-8A55-EEE531541E21}">
      <tableStyleElement type="wholeTable" dxfId="16"/>
      <tableStyleElement type="headerRow" dxfId="15"/>
      <tableStyleElement type="totalRow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0</xdr:row>
      <xdr:rowOff>95250</xdr:rowOff>
    </xdr:from>
    <xdr:to>
      <xdr:col>16</xdr:col>
      <xdr:colOff>304800</xdr:colOff>
      <xdr:row>8</xdr:row>
      <xdr:rowOff>158749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147F00-95AC-48F0-BB99-0068A1691CB2}"/>
            </a:ext>
          </a:extLst>
        </xdr:cNvPr>
        <xdr:cNvSpPr txBox="1"/>
      </xdr:nvSpPr>
      <xdr:spPr>
        <a:xfrm>
          <a:off x="8801100" y="95250"/>
          <a:ext cx="6238875" cy="1663699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W</a:t>
          </a:r>
          <a:r>
            <a:rPr lang="en-GB" sz="1100" baseline="0"/>
            <a:t>rite</a:t>
          </a:r>
          <a:r>
            <a:rPr lang="en-GB" sz="1100"/>
            <a:t> an IF formula to say</a:t>
          </a:r>
          <a:r>
            <a:rPr lang="en-GB" sz="1100" baseline="0"/>
            <a:t> "</a:t>
          </a:r>
          <a:r>
            <a:rPr lang="en-GB" sz="1100"/>
            <a:t>PASS" if the score is greater</a:t>
          </a:r>
          <a:r>
            <a:rPr lang="en-GB" sz="1100" baseline="0"/>
            <a:t> than or equal to</a:t>
          </a:r>
          <a:r>
            <a:rPr lang="en-GB" sz="1100"/>
            <a:t> 50 or "FAIL" </a:t>
          </a:r>
          <a:r>
            <a:rPr lang="en-GB" sz="1100" baseline="0"/>
            <a:t> less than 50.</a:t>
          </a:r>
        </a:p>
        <a:p>
          <a:endParaRPr lang="en-GB" sz="1100"/>
        </a:p>
        <a:p>
          <a:r>
            <a:rPr lang="en-GB" sz="1100"/>
            <a:t>2. In</a:t>
          </a:r>
          <a:r>
            <a:rPr lang="en-GB" sz="1100" baseline="0"/>
            <a:t> the Grade column c</a:t>
          </a:r>
          <a:r>
            <a:rPr lang="en-GB" sz="1100"/>
            <a:t>reate an IF statement to determine which grade</a:t>
          </a:r>
          <a:r>
            <a:rPr lang="en-GB" sz="1100" baseline="0"/>
            <a:t> each student should receive, grades are based on their test score. Refer to the Grades table to see how the scores are  broken down into grades.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249095</xdr:colOff>
      <xdr:row>21</xdr:row>
      <xdr:rowOff>2597</xdr:rowOff>
    </xdr:from>
    <xdr:to>
      <xdr:col>14</xdr:col>
      <xdr:colOff>524453</xdr:colOff>
      <xdr:row>30</xdr:row>
      <xdr:rowOff>147782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50ACDBE-E86C-4025-A4C6-3B07F7539E11}"/>
            </a:ext>
          </a:extLst>
        </xdr:cNvPr>
        <xdr:cNvSpPr txBox="1"/>
      </xdr:nvSpPr>
      <xdr:spPr>
        <a:xfrm>
          <a:off x="3236481" y="4011756"/>
          <a:ext cx="8146472" cy="185968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Scenarios:</a:t>
          </a:r>
          <a:r>
            <a:rPr lang="en-GB" sz="1400" b="1"/>
            <a:t> </a:t>
          </a:r>
        </a:p>
        <a:p>
          <a:endParaRPr lang="en-GB" sz="1200"/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client is based in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Jsy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Director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EF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mark for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attention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otherwise leave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200">
              <a:solidFill>
                <a:srgbClr val="FF0000"/>
              </a:solidFill>
            </a:rPr>
            <a:t> </a:t>
          </a: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either the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passport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utility bills </a:t>
          </a:r>
          <a:r>
            <a:rPr lang="en-GB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signature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has not been received mark the line to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chase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100">
            <a:effectLst/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Director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EF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Administrator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Morel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mark the account for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review,</a:t>
          </a:r>
          <a:r>
            <a:rPr lang="en-GB" sz="1200" b="0" i="0" u="none" strike="noStrik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200">
            <a:solidFill>
              <a:srgbClr val="FF0000"/>
            </a:solidFill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either the jurisdiction is in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Jersey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opening balance is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greater than 10,000 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highlight the record as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Priority,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2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passport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utility bill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signature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have been received, mark the record as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completed,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1200" b="0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228600" marR="0" lvl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/>
            <a:t>I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 the the jurisdiction is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JSY </a:t>
          </a:r>
          <a:r>
            <a:rPr lang="en-GB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due date is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in the past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mark it has Jersey </a:t>
          </a:r>
          <a:r>
            <a:rPr lang="en-GB" sz="12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Overdue,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otherwise leave </a:t>
          </a:r>
          <a:r>
            <a:rPr lang="en-GB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blank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126395</xdr:colOff>
      <xdr:row>0</xdr:row>
      <xdr:rowOff>123672</xdr:rowOff>
    </xdr:from>
    <xdr:to>
      <xdr:col>22</xdr:col>
      <xdr:colOff>266700</xdr:colOff>
      <xdr:row>23</xdr:row>
      <xdr:rowOff>209550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980AE6-8A76-41E5-80BC-74FBA1F642F5}"/>
            </a:ext>
          </a:extLst>
        </xdr:cNvPr>
        <xdr:cNvSpPr txBox="1"/>
      </xdr:nvSpPr>
      <xdr:spPr>
        <a:xfrm>
          <a:off x="9765695" y="123672"/>
          <a:ext cx="3912205" cy="529605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u="sng" baseline="0">
              <a:latin typeface="+mn-lt"/>
            </a:rPr>
            <a:t>SUM</a:t>
          </a:r>
        </a:p>
        <a:p>
          <a:r>
            <a:rPr lang="en-GB" sz="1100" u="none" baseline="0">
              <a:latin typeface="+mn-lt"/>
            </a:rPr>
            <a:t>1. How much debt is outstanding?</a:t>
          </a:r>
        </a:p>
        <a:p>
          <a:endParaRPr lang="en-GB" sz="1100" u="none" baseline="0">
            <a:latin typeface="+mn-lt"/>
          </a:endParaRPr>
        </a:p>
        <a:p>
          <a:r>
            <a:rPr lang="en-GB" sz="1100" u="sng" baseline="0">
              <a:latin typeface="+mn-lt"/>
            </a:rPr>
            <a:t>SUMIF</a:t>
          </a:r>
        </a:p>
        <a:p>
          <a:r>
            <a:rPr lang="en-GB" sz="1100" u="none" baseline="0">
              <a:latin typeface="+mn-lt"/>
            </a:rPr>
            <a:t>2. How much debt Becky Jones is chasing?</a:t>
          </a:r>
        </a:p>
        <a:p>
          <a:r>
            <a:rPr lang="en-GB" sz="1100" u="none" baseline="0">
              <a:latin typeface="+mn-lt"/>
            </a:rPr>
            <a:t>3. How much does Royal Bank of Canada owe?</a:t>
          </a:r>
        </a:p>
        <a:p>
          <a:pPr>
            <a:lnSpc>
              <a:spcPts val="1000"/>
            </a:lnSpc>
          </a:pPr>
          <a:endParaRPr lang="en-GB" sz="1100" u="none" baseline="0">
            <a:latin typeface="+mn-lt"/>
          </a:endParaRPr>
        </a:p>
        <a:p>
          <a:pPr>
            <a:lnSpc>
              <a:spcPts val="1000"/>
            </a:lnSpc>
          </a:pPr>
          <a:r>
            <a:rPr lang="en-GB" sz="1100" u="sng" baseline="0">
              <a:latin typeface="+mn-lt"/>
            </a:rPr>
            <a:t>SUMIFS</a:t>
          </a:r>
        </a:p>
        <a:p>
          <a:pPr>
            <a:lnSpc>
              <a:spcPts val="1000"/>
            </a:lnSpc>
          </a:pPr>
          <a:r>
            <a:rPr lang="en-GB" sz="1100" u="none" baseline="0">
              <a:latin typeface="+mn-lt"/>
            </a:rPr>
            <a:t>4a. How much does Nedbank owe for consultancy work?</a:t>
          </a:r>
        </a:p>
        <a:p>
          <a:pPr>
            <a:lnSpc>
              <a:spcPts val="1000"/>
            </a:lnSpc>
          </a:pPr>
          <a:r>
            <a:rPr lang="en-GB" sz="1100" u="none" baseline="0">
              <a:latin typeface="+mn-lt"/>
            </a:rPr>
            <a:t>4.b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much does Walkers owe for consultancy work?</a:t>
          </a:r>
          <a:endParaRPr lang="en-GB" sz="1100" u="none" baseline="0">
            <a:latin typeface="+mn-lt"/>
          </a:endParaRPr>
        </a:p>
        <a:p>
          <a:pPr>
            <a:lnSpc>
              <a:spcPts val="1000"/>
            </a:lnSpc>
          </a:pPr>
          <a:r>
            <a:rPr lang="en-GB" sz="1100" u="none" baseline="0">
              <a:latin typeface="+mn-lt"/>
            </a:rPr>
            <a:t>4.c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much does Voisins owe for consultancy work?</a:t>
          </a:r>
        </a:p>
        <a:p>
          <a:pPr>
            <a:lnSpc>
              <a:spcPts val="1000"/>
            </a:lnSpc>
          </a:pPr>
          <a:endParaRPr lang="en-GB" sz="1100" u="none" baseline="0">
            <a:latin typeface="+mn-lt"/>
          </a:endParaRPr>
        </a:p>
        <a:p>
          <a:r>
            <a:rPr lang="en-GB" sz="110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COUNTA</a:t>
          </a:r>
          <a:endParaRPr lang="en-GB">
            <a:effectLst/>
            <a:latin typeface="+mn-lt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How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many pieces of work have not been paid for?</a:t>
          </a:r>
        </a:p>
        <a:p>
          <a:endParaRPr lang="en-GB">
            <a:effectLst/>
            <a:latin typeface="+mn-lt"/>
          </a:endParaRPr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COUNTIF</a:t>
          </a:r>
          <a:endParaRPr lang="en-GB">
            <a:effectLst/>
            <a:latin typeface="+mn-lt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6a. How many pieces of work is Ana Smith chasing to be paid?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6.b How many pieces of work is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Paul McGrath</a:t>
          </a:r>
          <a:r>
            <a:rPr lang="en-GB">
              <a:latin typeface="+mn-lt"/>
            </a:rPr>
            <a:t>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chasing to be paid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6.c How many pieces of work is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Mary Blackmore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chasing to be paid</a:t>
          </a:r>
          <a:endParaRPr lang="en-GB">
            <a:effectLst/>
            <a:latin typeface="+mn-lt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How many lines of debts are there over £3000?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COUNTIFS</a:t>
          </a: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How many pieces of work is Mary waiting for Calligo to pay?</a:t>
          </a:r>
          <a:endParaRPr lang="en-GB">
            <a:effectLst/>
            <a:latin typeface="+mn-lt"/>
          </a:endParaRPr>
        </a:p>
        <a:p>
          <a:pPr>
            <a:lnSpc>
              <a:spcPts val="1000"/>
            </a:lnSpc>
          </a:pPr>
          <a:endParaRPr lang="en-GB" sz="1100" u="sng" baseline="0">
            <a:latin typeface="+mn-lt"/>
          </a:endParaRPr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</a:t>
          </a:r>
          <a:endParaRPr lang="en-GB">
            <a:effectLst/>
            <a:latin typeface="+mn-lt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What is the largest amount of outstanding?</a:t>
          </a:r>
          <a:endParaRPr lang="en-GB">
            <a:effectLst/>
            <a:latin typeface="+mn-lt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What is the most recent debt?</a:t>
          </a:r>
        </a:p>
        <a:p>
          <a:endParaRPr lang="en-GB">
            <a:effectLst/>
            <a:latin typeface="+mn-lt"/>
          </a:endParaRPr>
        </a:p>
        <a:p>
          <a:r>
            <a:rPr lang="en-GB" sz="110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</a:t>
          </a:r>
          <a:endParaRPr lang="en-GB">
            <a:effectLst/>
            <a:latin typeface="+mn-lt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 What is the smallest amount of debt?</a:t>
          </a:r>
          <a:endParaRPr lang="en-GB">
            <a:effectLst/>
            <a:latin typeface="+mn-lt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 What is the oldest debt?</a:t>
          </a:r>
        </a:p>
        <a:p>
          <a:endParaRPr lang="en-GB">
            <a:effectLst/>
          </a:endParaRPr>
        </a:p>
        <a:p>
          <a:pPr>
            <a:lnSpc>
              <a:spcPts val="1000"/>
            </a:lnSpc>
          </a:pPr>
          <a:endParaRPr lang="en-GB" sz="1100" u="none" baseline="0"/>
        </a:p>
        <a:p>
          <a:endParaRPr lang="en-GB" sz="1100" u="none" baseline="0"/>
        </a:p>
        <a:p>
          <a:pPr>
            <a:lnSpc>
              <a:spcPts val="900"/>
            </a:lnSpc>
          </a:pPr>
          <a:endParaRPr lang="en-GB" sz="1100" u="none" baseline="0"/>
        </a:p>
        <a:p>
          <a:pPr>
            <a:lnSpc>
              <a:spcPts val="900"/>
            </a:lnSpc>
          </a:pPr>
          <a:endParaRPr lang="en-GB" sz="1100" u="none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340298</xdr:colOff>
      <xdr:row>0</xdr:row>
      <xdr:rowOff>120712</xdr:rowOff>
    </xdr:from>
    <xdr:to>
      <xdr:col>25</xdr:col>
      <xdr:colOff>416498</xdr:colOff>
      <xdr:row>33</xdr:row>
      <xdr:rowOff>157376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540C333-CA64-4551-B118-3742A157CCA3}"/>
            </a:ext>
          </a:extLst>
        </xdr:cNvPr>
        <xdr:cNvSpPr txBox="1"/>
      </xdr:nvSpPr>
      <xdr:spPr>
        <a:xfrm>
          <a:off x="11915595" y="120712"/>
          <a:ext cx="5984928" cy="709162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How many employees are there?</a:t>
          </a:r>
          <a:r>
            <a:rPr lang="en-GB"/>
            <a:t> </a:t>
          </a:r>
        </a:p>
        <a:p>
          <a:endParaRPr lang="en-GB"/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How many people are in the Admin Team?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How many people are grade 8?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How many people are grade 5 or below?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How many applications of overtime were there? </a:t>
          </a:r>
          <a:r>
            <a:rPr lang="en-GB"/>
            <a:t> </a:t>
          </a:r>
        </a:p>
        <a:p>
          <a:endParaRPr lang="en-GB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How many over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 requests were made by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employees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grade 6 and above 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How many over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 requests were made by 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Admin team 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How many over</a:t>
          </a:r>
          <a:r>
            <a:rPr lang="en-GB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time requests were made by  staff on a</a:t>
          </a:r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Monday?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endParaRPr lang="en-GB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How many standard hours were worked during this period?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10. How many hours of overtime were worked?</a:t>
          </a:r>
          <a:endParaRPr lang="en-GB">
            <a:effectLst/>
          </a:endParaRPr>
        </a:p>
        <a:p>
          <a:r>
            <a:rPr lang="en-GB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 How many hours in total were worked?</a:t>
          </a:r>
          <a:endParaRPr lang="en-GB">
            <a:effectLst/>
          </a:endParaRPr>
        </a:p>
        <a:p>
          <a:endParaRPr lang="en-GB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 How many hours overtime was worked on Friday?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13. How many standard hours were worked by the Legal Team?</a:t>
          </a:r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14. How much overtime did A Wright do?</a:t>
          </a:r>
          <a:r>
            <a:rPr lang="en-GB"/>
            <a:t> </a:t>
          </a:r>
        </a:p>
        <a:p>
          <a:endParaRPr lang="en-GB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 How much overtime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completed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by members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the Legal Team on 38 hr weeks?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16. How much overtime did people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on grade 5 and above in 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Operations Team do?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/>
            <a:t> 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17. What was the average amount of standard hours worked?</a:t>
          </a:r>
          <a:r>
            <a:rPr lang="en-GB"/>
            <a:t> </a:t>
          </a: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18. What is the average amount 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standard hours worked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by people on 38hr contracts or more?</a:t>
          </a: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19. What is the average amount of standard hours worked by</a:t>
          </a:r>
          <a:r>
            <a:rPr lang="en-GB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employees on grade 9 or more</a:t>
          </a:r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?</a:t>
          </a:r>
          <a:r>
            <a:rPr lang="en-GB"/>
            <a:t> </a:t>
          </a:r>
        </a:p>
        <a:p>
          <a:endParaRPr lang="en-GB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20.What is the most frequent number of hours in a contract?</a:t>
          </a:r>
          <a:r>
            <a:rPr lang="en-GB"/>
            <a:t> </a:t>
          </a:r>
          <a:endParaRPr lang="en-GB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161035</xdr:colOff>
      <xdr:row>0</xdr:row>
      <xdr:rowOff>244000</xdr:rowOff>
    </xdr:from>
    <xdr:to>
      <xdr:col>27</xdr:col>
      <xdr:colOff>103885</xdr:colOff>
      <xdr:row>16</xdr:row>
      <xdr:rowOff>153202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C59913-CCF3-4286-A5B7-B5AC7A0DB9CB}"/>
            </a:ext>
          </a:extLst>
        </xdr:cNvPr>
        <xdr:cNvSpPr txBox="1"/>
      </xdr:nvSpPr>
      <xdr:spPr>
        <a:xfrm>
          <a:off x="10886185" y="244000"/>
          <a:ext cx="8274050" cy="303975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Questions</a:t>
          </a:r>
        </a:p>
        <a:p>
          <a:endParaRPr lang="en-GB" sz="12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vegetarians need to be catered for?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total amount</a:t>
          </a:r>
          <a:r>
            <a:rPr lang="en-GB" sz="12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</a:t>
          </a: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ticket sales and donations?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individuals have requested tickets?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people from Sales have applied for tickets?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groups did not send a donation?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batches of tickets still need to be sent?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people require transport?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many guests will there be from the Admin dept?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most frequent size of group?</a:t>
          </a:r>
          <a:r>
            <a:rPr lang="en-GB" sz="1200" b="0"/>
            <a:t> </a:t>
          </a:r>
        </a:p>
        <a:p>
          <a:pPr marL="228600" indent="-228600">
            <a:buFont typeface="+mj-lt"/>
            <a:buAutoNum type="arabicPeriod"/>
          </a:pPr>
          <a:r>
            <a:rPr lang="en-GB" sz="12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average donation?</a:t>
          </a:r>
          <a:r>
            <a:rPr lang="en-GB" sz="1200" b="0"/>
            <a:t> </a:t>
          </a:r>
        </a:p>
        <a:p>
          <a:pPr marL="228600" marR="0" indent="-22860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+mj-lt"/>
            <a:buAutoNum type="arabicPeriod"/>
            <a:tabLst/>
            <a:defRPr/>
          </a:pPr>
          <a:r>
            <a:rPr lang="en-GB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there are 6 or more guests from the same 'party' mark</a:t>
          </a:r>
          <a:r>
            <a:rPr lang="en-GB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this record as </a:t>
          </a:r>
          <a:r>
            <a:rPr lang="en-GB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own table</a:t>
          </a:r>
          <a:endParaRPr lang="en-US" sz="1200">
            <a:effectLst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exMorel\ALX%20Training\Trainers%20-%20Training%20Material\General\Visualising%20Data\Visualising%20Data%20-%20Dashboard%20Training%20Do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 - Dshbd (Complete)"/>
      <sheetName val="Rev - Chart"/>
      <sheetName val="Rev - Model"/>
      <sheetName val="Rev - List"/>
      <sheetName val="Rev - Ops"/>
      <sheetName val="Rev - KPI"/>
      <sheetName val="Rev - Calc"/>
      <sheetName val="Rev - Data"/>
      <sheetName val="Rev - Check"/>
      <sheetName val="HR Dshbd (Complete)"/>
      <sheetName val="HR - Model"/>
      <sheetName val="HR - Lists"/>
      <sheetName val="HR"/>
      <sheetName val="HR - Staff"/>
      <sheetName val="HR - Calcs"/>
      <sheetName val="HR - Chart"/>
      <sheetName val="HR - Che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5D717B-28E1-49AE-84ED-C51C7BD2A3E2}" name="Table1" displayName="Table1" ref="A1:K13" totalsRowShown="0" headerRowDxfId="13" dataDxfId="12" headerRowBorderDxfId="11" headerRowCellStyle="Normal 2">
  <autoFilter ref="A1:K13" xr:uid="{6E5D717B-28E1-49AE-84ED-C51C7BD2A3E2}"/>
  <tableColumns count="11">
    <tableColumn id="1" xr3:uid="{E7EB4FE5-0DB6-41B6-8CB9-9DF617A8FDB9}" name="First Name" dataDxfId="10"/>
    <tableColumn id="2" xr3:uid="{102B8CB7-AAD7-4774-8CF4-26A48A89B1F6}" name="Surname" dataDxfId="9"/>
    <tableColumn id="3" xr3:uid="{AA47A88D-C7C6-4137-BB4C-B8B238CB3462}" name="Grade" dataDxfId="8"/>
    <tableColumn id="4" xr3:uid="{D24A90E9-E10C-4100-B2CC-ED9188AE5B76}" name="Hours" dataDxfId="7"/>
    <tableColumn id="5" xr3:uid="{F5BB658A-B28C-4F63-9376-CAD9ABC760BC}" name="FT/PT" dataDxfId="6">
      <calculatedColumnFormula>IF(D2&lt;35,"FT","PT")</calculatedColumnFormula>
    </tableColumn>
    <tableColumn id="6" xr3:uid="{18BA90E5-3F9A-46C7-A417-6F5923B08E7A}" name="Salary" dataDxfId="5"/>
    <tableColumn id="7" xr3:uid="{FC694ACE-B94E-4D50-AA9A-E5A77DA8C64A}" name="Yrs Service" dataDxfId="4"/>
    <tableColumn id="8" xr3:uid="{99CD4B06-5572-40A4-A41C-B9824587A000}" name="Target" dataDxfId="3"/>
    <tableColumn id="9" xr3:uid="{EF99CD4B-771D-46F4-B18B-AB65ADF4B012}" name="Bonus" dataDxfId="2">
      <calculatedColumnFormula>IF(H2="met",F2*10%,"")</calculatedColumnFormula>
    </tableColumn>
    <tableColumn id="10" xr3:uid="{E97EE0DA-2B9D-47CA-B943-683CBB4FFB10}" name="Holiday" dataDxfId="1">
      <calculatedColumnFormula>IF(G2&gt;=10,27,IF(G2&gt;=5,25,23))</calculatedColumnFormula>
    </tableColumn>
    <tableColumn id="11" xr3:uid="{786A65C7-E8F4-4D8B-AAED-0A39265416EF}" name="Pension" dataDxfId="0">
      <calculatedColumnFormula>IF(C2&gt;=10,F2*15%,IF(C2&gt;=5,F2*10%,F2*5%))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8281-C59E-409B-B606-045D5C2D6DBF}">
  <sheetPr codeName="Sheet1">
    <tabColor theme="4" tint="-0.249977111117893"/>
  </sheetPr>
  <dimension ref="A1:E6"/>
  <sheetViews>
    <sheetView tabSelected="1" zoomScale="110" zoomScaleNormal="110" workbookViewId="0">
      <selection activeCell="C6" sqref="C6"/>
    </sheetView>
  </sheetViews>
  <sheetFormatPr defaultColWidth="14.7109375" defaultRowHeight="18" customHeight="1"/>
  <cols>
    <col min="1" max="3" width="14.7109375" style="80"/>
    <col min="4" max="4" width="14.7109375" style="84"/>
    <col min="5" max="5" width="14.7109375" style="90"/>
    <col min="6" max="16384" width="14.7109375" style="80"/>
  </cols>
  <sheetData>
    <row r="1" spans="1:5" ht="18" customHeight="1">
      <c r="A1" s="85" t="s">
        <v>0</v>
      </c>
      <c r="B1" s="85" t="s">
        <v>1</v>
      </c>
      <c r="C1" s="85" t="s">
        <v>2</v>
      </c>
      <c r="D1" s="86" t="s">
        <v>3</v>
      </c>
      <c r="E1" s="87" t="s">
        <v>4</v>
      </c>
    </row>
    <row r="2" spans="1:5" ht="18" customHeight="1">
      <c r="A2" s="80" t="s">
        <v>5</v>
      </c>
      <c r="B2" s="88">
        <v>450</v>
      </c>
      <c r="C2" s="89">
        <v>621.58000000000004</v>
      </c>
      <c r="D2" s="84" t="str">
        <f>IF(C2&gt;B2,"Over budget","Within budget")</f>
        <v>Over budget</v>
      </c>
      <c r="E2" s="90">
        <f>IF(D2="Over budget",C2-B2,0)</f>
        <v>171.58000000000004</v>
      </c>
    </row>
    <row r="3" spans="1:5" ht="18" customHeight="1">
      <c r="A3" s="80" t="s">
        <v>6</v>
      </c>
      <c r="B3" s="88">
        <v>375</v>
      </c>
      <c r="C3" s="89">
        <v>324</v>
      </c>
      <c r="D3" s="84" t="str">
        <f t="shared" ref="D3:D6" si="0">IF(C3&gt;B3,"Over budget","Within budget")</f>
        <v>Within budget</v>
      </c>
      <c r="E3" s="90">
        <f t="shared" ref="E3:E6" si="1">IF(D3="Over budget",C3-B3,0)</f>
        <v>0</v>
      </c>
    </row>
    <row r="4" spans="1:5" ht="18" customHeight="1">
      <c r="A4" s="80" t="s">
        <v>7</v>
      </c>
      <c r="B4" s="88">
        <v>150</v>
      </c>
      <c r="C4" s="89">
        <v>128</v>
      </c>
      <c r="D4" s="84" t="str">
        <f t="shared" si="0"/>
        <v>Within budget</v>
      </c>
      <c r="E4" s="90">
        <f t="shared" si="1"/>
        <v>0</v>
      </c>
    </row>
    <row r="5" spans="1:5" ht="18" customHeight="1">
      <c r="A5" s="80" t="s">
        <v>8</v>
      </c>
      <c r="B5" s="88">
        <v>150</v>
      </c>
      <c r="C5" s="89">
        <v>174.38</v>
      </c>
      <c r="D5" s="84" t="str">
        <f t="shared" si="0"/>
        <v>Over budget</v>
      </c>
      <c r="E5" s="90">
        <f t="shared" si="1"/>
        <v>24.379999999999995</v>
      </c>
    </row>
    <row r="6" spans="1:5" ht="18" customHeight="1">
      <c r="A6" s="80" t="s">
        <v>9</v>
      </c>
      <c r="B6" s="88">
        <v>50</v>
      </c>
      <c r="C6" s="89">
        <v>82</v>
      </c>
      <c r="D6" s="84" t="str">
        <f t="shared" si="0"/>
        <v>Over budget</v>
      </c>
      <c r="E6" s="90">
        <f t="shared" si="1"/>
        <v>32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7CBA0-D742-4F88-8C4E-A58DCA242E9E}">
  <sheetPr codeName="Sheet2">
    <tabColor theme="4" tint="-0.249977111117893"/>
  </sheetPr>
  <dimension ref="A1:K13"/>
  <sheetViews>
    <sheetView zoomScale="110" zoomScaleNormal="110" workbookViewId="0">
      <selection activeCell="C7" sqref="C7"/>
    </sheetView>
  </sheetViews>
  <sheetFormatPr defaultColWidth="9" defaultRowHeight="32.25" customHeight="1"/>
  <cols>
    <col min="1" max="1" width="12.85546875" style="80" bestFit="1" customWidth="1"/>
    <col min="2" max="2" width="11.140625" style="80" bestFit="1" customWidth="1"/>
    <col min="3" max="3" width="8.5703125" style="84" bestFit="1" customWidth="1"/>
    <col min="4" max="4" width="8.42578125" style="84" bestFit="1" customWidth="1"/>
    <col min="5" max="5" width="8.28515625" style="84" bestFit="1" customWidth="1"/>
    <col min="6" max="6" width="11.5703125" style="90" bestFit="1" customWidth="1"/>
    <col min="7" max="7" width="12.7109375" style="84" bestFit="1" customWidth="1"/>
    <col min="8" max="8" width="8.85546875" style="84" bestFit="1" customWidth="1"/>
    <col min="9" max="9" width="10.5703125" style="90" bestFit="1" customWidth="1"/>
    <col min="10" max="10" width="10" style="84" bestFit="1" customWidth="1"/>
    <col min="11" max="11" width="11.5703125" style="90" bestFit="1" customWidth="1"/>
    <col min="12" max="252" width="9" style="80"/>
    <col min="253" max="253" width="10.42578125" style="80" bestFit="1" customWidth="1"/>
    <col min="254" max="254" width="9" style="80"/>
    <col min="255" max="255" width="10" style="80" bestFit="1" customWidth="1"/>
    <col min="256" max="256" width="9" style="80" bestFit="1" customWidth="1"/>
    <col min="257" max="258" width="9" style="80"/>
    <col min="259" max="259" width="11.28515625" style="80" bestFit="1" customWidth="1"/>
    <col min="260" max="260" width="11.28515625" style="80" customWidth="1"/>
    <col min="261" max="261" width="7.85546875" style="80" customWidth="1"/>
    <col min="262" max="262" width="11" style="80" bestFit="1" customWidth="1"/>
    <col min="263" max="508" width="9" style="80"/>
    <col min="509" max="509" width="10.42578125" style="80" bestFit="1" customWidth="1"/>
    <col min="510" max="510" width="9" style="80"/>
    <col min="511" max="511" width="10" style="80" bestFit="1" customWidth="1"/>
    <col min="512" max="512" width="9" style="80" bestFit="1" customWidth="1"/>
    <col min="513" max="514" width="9" style="80"/>
    <col min="515" max="515" width="11.28515625" style="80" bestFit="1" customWidth="1"/>
    <col min="516" max="516" width="11.28515625" style="80" customWidth="1"/>
    <col min="517" max="517" width="7.85546875" style="80" customWidth="1"/>
    <col min="518" max="518" width="11" style="80" bestFit="1" customWidth="1"/>
    <col min="519" max="764" width="9" style="80"/>
    <col min="765" max="765" width="10.42578125" style="80" bestFit="1" customWidth="1"/>
    <col min="766" max="766" width="9" style="80"/>
    <col min="767" max="767" width="10" style="80" bestFit="1" customWidth="1"/>
    <col min="768" max="768" width="9" style="80" bestFit="1" customWidth="1"/>
    <col min="769" max="770" width="9" style="80"/>
    <col min="771" max="771" width="11.28515625" style="80" bestFit="1" customWidth="1"/>
    <col min="772" max="772" width="11.28515625" style="80" customWidth="1"/>
    <col min="773" max="773" width="7.85546875" style="80" customWidth="1"/>
    <col min="774" max="774" width="11" style="80" bestFit="1" customWidth="1"/>
    <col min="775" max="1020" width="9" style="80"/>
    <col min="1021" max="1021" width="10.42578125" style="80" bestFit="1" customWidth="1"/>
    <col min="1022" max="1022" width="9" style="80"/>
    <col min="1023" max="1023" width="10" style="80" bestFit="1" customWidth="1"/>
    <col min="1024" max="1024" width="9" style="80" bestFit="1" customWidth="1"/>
    <col min="1025" max="1026" width="9" style="80"/>
    <col min="1027" max="1027" width="11.28515625" style="80" bestFit="1" customWidth="1"/>
    <col min="1028" max="1028" width="11.28515625" style="80" customWidth="1"/>
    <col min="1029" max="1029" width="7.85546875" style="80" customWidth="1"/>
    <col min="1030" max="1030" width="11" style="80" bestFit="1" customWidth="1"/>
    <col min="1031" max="1276" width="9" style="80"/>
    <col min="1277" max="1277" width="10.42578125" style="80" bestFit="1" customWidth="1"/>
    <col min="1278" max="1278" width="9" style="80"/>
    <col min="1279" max="1279" width="10" style="80" bestFit="1" customWidth="1"/>
    <col min="1280" max="1280" width="9" style="80" bestFit="1" customWidth="1"/>
    <col min="1281" max="1282" width="9" style="80"/>
    <col min="1283" max="1283" width="11.28515625" style="80" bestFit="1" customWidth="1"/>
    <col min="1284" max="1284" width="11.28515625" style="80" customWidth="1"/>
    <col min="1285" max="1285" width="7.85546875" style="80" customWidth="1"/>
    <col min="1286" max="1286" width="11" style="80" bestFit="1" customWidth="1"/>
    <col min="1287" max="1532" width="9" style="80"/>
    <col min="1533" max="1533" width="10.42578125" style="80" bestFit="1" customWidth="1"/>
    <col min="1534" max="1534" width="9" style="80"/>
    <col min="1535" max="1535" width="10" style="80" bestFit="1" customWidth="1"/>
    <col min="1536" max="1536" width="9" style="80" bestFit="1" customWidth="1"/>
    <col min="1537" max="1538" width="9" style="80"/>
    <col min="1539" max="1539" width="11.28515625" style="80" bestFit="1" customWidth="1"/>
    <col min="1540" max="1540" width="11.28515625" style="80" customWidth="1"/>
    <col min="1541" max="1541" width="7.85546875" style="80" customWidth="1"/>
    <col min="1542" max="1542" width="11" style="80" bestFit="1" customWidth="1"/>
    <col min="1543" max="1788" width="9" style="80"/>
    <col min="1789" max="1789" width="10.42578125" style="80" bestFit="1" customWidth="1"/>
    <col min="1790" max="1790" width="9" style="80"/>
    <col min="1791" max="1791" width="10" style="80" bestFit="1" customWidth="1"/>
    <col min="1792" max="1792" width="9" style="80" bestFit="1" customWidth="1"/>
    <col min="1793" max="1794" width="9" style="80"/>
    <col min="1795" max="1795" width="11.28515625" style="80" bestFit="1" customWidth="1"/>
    <col min="1796" max="1796" width="11.28515625" style="80" customWidth="1"/>
    <col min="1797" max="1797" width="7.85546875" style="80" customWidth="1"/>
    <col min="1798" max="1798" width="11" style="80" bestFit="1" customWidth="1"/>
    <col min="1799" max="2044" width="9" style="80"/>
    <col min="2045" max="2045" width="10.42578125" style="80" bestFit="1" customWidth="1"/>
    <col min="2046" max="2046" width="9" style="80"/>
    <col min="2047" max="2047" width="10" style="80" bestFit="1" customWidth="1"/>
    <col min="2048" max="2048" width="9" style="80" bestFit="1" customWidth="1"/>
    <col min="2049" max="2050" width="9" style="80"/>
    <col min="2051" max="2051" width="11.28515625" style="80" bestFit="1" customWidth="1"/>
    <col min="2052" max="2052" width="11.28515625" style="80" customWidth="1"/>
    <col min="2053" max="2053" width="7.85546875" style="80" customWidth="1"/>
    <col min="2054" max="2054" width="11" style="80" bestFit="1" customWidth="1"/>
    <col min="2055" max="2300" width="9" style="80"/>
    <col min="2301" max="2301" width="10.42578125" style="80" bestFit="1" customWidth="1"/>
    <col min="2302" max="2302" width="9" style="80"/>
    <col min="2303" max="2303" width="10" style="80" bestFit="1" customWidth="1"/>
    <col min="2304" max="2304" width="9" style="80" bestFit="1" customWidth="1"/>
    <col min="2305" max="2306" width="9" style="80"/>
    <col min="2307" max="2307" width="11.28515625" style="80" bestFit="1" customWidth="1"/>
    <col min="2308" max="2308" width="11.28515625" style="80" customWidth="1"/>
    <col min="2309" max="2309" width="7.85546875" style="80" customWidth="1"/>
    <col min="2310" max="2310" width="11" style="80" bestFit="1" customWidth="1"/>
    <col min="2311" max="2556" width="9" style="80"/>
    <col min="2557" max="2557" width="10.42578125" style="80" bestFit="1" customWidth="1"/>
    <col min="2558" max="2558" width="9" style="80"/>
    <col min="2559" max="2559" width="10" style="80" bestFit="1" customWidth="1"/>
    <col min="2560" max="2560" width="9" style="80" bestFit="1" customWidth="1"/>
    <col min="2561" max="2562" width="9" style="80"/>
    <col min="2563" max="2563" width="11.28515625" style="80" bestFit="1" customWidth="1"/>
    <col min="2564" max="2564" width="11.28515625" style="80" customWidth="1"/>
    <col min="2565" max="2565" width="7.85546875" style="80" customWidth="1"/>
    <col min="2566" max="2566" width="11" style="80" bestFit="1" customWidth="1"/>
    <col min="2567" max="2812" width="9" style="80"/>
    <col min="2813" max="2813" width="10.42578125" style="80" bestFit="1" customWidth="1"/>
    <col min="2814" max="2814" width="9" style="80"/>
    <col min="2815" max="2815" width="10" style="80" bestFit="1" customWidth="1"/>
    <col min="2816" max="2816" width="9" style="80" bestFit="1" customWidth="1"/>
    <col min="2817" max="2818" width="9" style="80"/>
    <col min="2819" max="2819" width="11.28515625" style="80" bestFit="1" customWidth="1"/>
    <col min="2820" max="2820" width="11.28515625" style="80" customWidth="1"/>
    <col min="2821" max="2821" width="7.85546875" style="80" customWidth="1"/>
    <col min="2822" max="2822" width="11" style="80" bestFit="1" customWidth="1"/>
    <col min="2823" max="3068" width="9" style="80"/>
    <col min="3069" max="3069" width="10.42578125" style="80" bestFit="1" customWidth="1"/>
    <col min="3070" max="3070" width="9" style="80"/>
    <col min="3071" max="3071" width="10" style="80" bestFit="1" customWidth="1"/>
    <col min="3072" max="3072" width="9" style="80" bestFit="1" customWidth="1"/>
    <col min="3073" max="3074" width="9" style="80"/>
    <col min="3075" max="3075" width="11.28515625" style="80" bestFit="1" customWidth="1"/>
    <col min="3076" max="3076" width="11.28515625" style="80" customWidth="1"/>
    <col min="3077" max="3077" width="7.85546875" style="80" customWidth="1"/>
    <col min="3078" max="3078" width="11" style="80" bestFit="1" customWidth="1"/>
    <col min="3079" max="3324" width="9" style="80"/>
    <col min="3325" max="3325" width="10.42578125" style="80" bestFit="1" customWidth="1"/>
    <col min="3326" max="3326" width="9" style="80"/>
    <col min="3327" max="3327" width="10" style="80" bestFit="1" customWidth="1"/>
    <col min="3328" max="3328" width="9" style="80" bestFit="1" customWidth="1"/>
    <col min="3329" max="3330" width="9" style="80"/>
    <col min="3331" max="3331" width="11.28515625" style="80" bestFit="1" customWidth="1"/>
    <col min="3332" max="3332" width="11.28515625" style="80" customWidth="1"/>
    <col min="3333" max="3333" width="7.85546875" style="80" customWidth="1"/>
    <col min="3334" max="3334" width="11" style="80" bestFit="1" customWidth="1"/>
    <col min="3335" max="3580" width="9" style="80"/>
    <col min="3581" max="3581" width="10.42578125" style="80" bestFit="1" customWidth="1"/>
    <col min="3582" max="3582" width="9" style="80"/>
    <col min="3583" max="3583" width="10" style="80" bestFit="1" customWidth="1"/>
    <col min="3584" max="3584" width="9" style="80" bestFit="1" customWidth="1"/>
    <col min="3585" max="3586" width="9" style="80"/>
    <col min="3587" max="3587" width="11.28515625" style="80" bestFit="1" customWidth="1"/>
    <col min="3588" max="3588" width="11.28515625" style="80" customWidth="1"/>
    <col min="3589" max="3589" width="7.85546875" style="80" customWidth="1"/>
    <col min="3590" max="3590" width="11" style="80" bestFit="1" customWidth="1"/>
    <col min="3591" max="3836" width="9" style="80"/>
    <col min="3837" max="3837" width="10.42578125" style="80" bestFit="1" customWidth="1"/>
    <col min="3838" max="3838" width="9" style="80"/>
    <col min="3839" max="3839" width="10" style="80" bestFit="1" customWidth="1"/>
    <col min="3840" max="3840" width="9" style="80" bestFit="1" customWidth="1"/>
    <col min="3841" max="3842" width="9" style="80"/>
    <col min="3843" max="3843" width="11.28515625" style="80" bestFit="1" customWidth="1"/>
    <col min="3844" max="3844" width="11.28515625" style="80" customWidth="1"/>
    <col min="3845" max="3845" width="7.85546875" style="80" customWidth="1"/>
    <col min="3846" max="3846" width="11" style="80" bestFit="1" customWidth="1"/>
    <col min="3847" max="4092" width="9" style="80"/>
    <col min="4093" max="4093" width="10.42578125" style="80" bestFit="1" customWidth="1"/>
    <col min="4094" max="4094" width="9" style="80"/>
    <col min="4095" max="4095" width="10" style="80" bestFit="1" customWidth="1"/>
    <col min="4096" max="4096" width="9" style="80" bestFit="1" customWidth="1"/>
    <col min="4097" max="4098" width="9" style="80"/>
    <col min="4099" max="4099" width="11.28515625" style="80" bestFit="1" customWidth="1"/>
    <col min="4100" max="4100" width="11.28515625" style="80" customWidth="1"/>
    <col min="4101" max="4101" width="7.85546875" style="80" customWidth="1"/>
    <col min="4102" max="4102" width="11" style="80" bestFit="1" customWidth="1"/>
    <col min="4103" max="4348" width="9" style="80"/>
    <col min="4349" max="4349" width="10.42578125" style="80" bestFit="1" customWidth="1"/>
    <col min="4350" max="4350" width="9" style="80"/>
    <col min="4351" max="4351" width="10" style="80" bestFit="1" customWidth="1"/>
    <col min="4352" max="4352" width="9" style="80" bestFit="1" customWidth="1"/>
    <col min="4353" max="4354" width="9" style="80"/>
    <col min="4355" max="4355" width="11.28515625" style="80" bestFit="1" customWidth="1"/>
    <col min="4356" max="4356" width="11.28515625" style="80" customWidth="1"/>
    <col min="4357" max="4357" width="7.85546875" style="80" customWidth="1"/>
    <col min="4358" max="4358" width="11" style="80" bestFit="1" customWidth="1"/>
    <col min="4359" max="4604" width="9" style="80"/>
    <col min="4605" max="4605" width="10.42578125" style="80" bestFit="1" customWidth="1"/>
    <col min="4606" max="4606" width="9" style="80"/>
    <col min="4607" max="4607" width="10" style="80" bestFit="1" customWidth="1"/>
    <col min="4608" max="4608" width="9" style="80" bestFit="1" customWidth="1"/>
    <col min="4609" max="4610" width="9" style="80"/>
    <col min="4611" max="4611" width="11.28515625" style="80" bestFit="1" customWidth="1"/>
    <col min="4612" max="4612" width="11.28515625" style="80" customWidth="1"/>
    <col min="4613" max="4613" width="7.85546875" style="80" customWidth="1"/>
    <col min="4614" max="4614" width="11" style="80" bestFit="1" customWidth="1"/>
    <col min="4615" max="4860" width="9" style="80"/>
    <col min="4861" max="4861" width="10.42578125" style="80" bestFit="1" customWidth="1"/>
    <col min="4862" max="4862" width="9" style="80"/>
    <col min="4863" max="4863" width="10" style="80" bestFit="1" customWidth="1"/>
    <col min="4864" max="4864" width="9" style="80" bestFit="1" customWidth="1"/>
    <col min="4865" max="4866" width="9" style="80"/>
    <col min="4867" max="4867" width="11.28515625" style="80" bestFit="1" customWidth="1"/>
    <col min="4868" max="4868" width="11.28515625" style="80" customWidth="1"/>
    <col min="4869" max="4869" width="7.85546875" style="80" customWidth="1"/>
    <col min="4870" max="4870" width="11" style="80" bestFit="1" customWidth="1"/>
    <col min="4871" max="5116" width="9" style="80"/>
    <col min="5117" max="5117" width="10.42578125" style="80" bestFit="1" customWidth="1"/>
    <col min="5118" max="5118" width="9" style="80"/>
    <col min="5119" max="5119" width="10" style="80" bestFit="1" customWidth="1"/>
    <col min="5120" max="5120" width="9" style="80" bestFit="1" customWidth="1"/>
    <col min="5121" max="5122" width="9" style="80"/>
    <col min="5123" max="5123" width="11.28515625" style="80" bestFit="1" customWidth="1"/>
    <col min="5124" max="5124" width="11.28515625" style="80" customWidth="1"/>
    <col min="5125" max="5125" width="7.85546875" style="80" customWidth="1"/>
    <col min="5126" max="5126" width="11" style="80" bestFit="1" customWidth="1"/>
    <col min="5127" max="5372" width="9" style="80"/>
    <col min="5373" max="5373" width="10.42578125" style="80" bestFit="1" customWidth="1"/>
    <col min="5374" max="5374" width="9" style="80"/>
    <col min="5375" max="5375" width="10" style="80" bestFit="1" customWidth="1"/>
    <col min="5376" max="5376" width="9" style="80" bestFit="1" customWidth="1"/>
    <col min="5377" max="5378" width="9" style="80"/>
    <col min="5379" max="5379" width="11.28515625" style="80" bestFit="1" customWidth="1"/>
    <col min="5380" max="5380" width="11.28515625" style="80" customWidth="1"/>
    <col min="5381" max="5381" width="7.85546875" style="80" customWidth="1"/>
    <col min="5382" max="5382" width="11" style="80" bestFit="1" customWidth="1"/>
    <col min="5383" max="5628" width="9" style="80"/>
    <col min="5629" max="5629" width="10.42578125" style="80" bestFit="1" customWidth="1"/>
    <col min="5630" max="5630" width="9" style="80"/>
    <col min="5631" max="5631" width="10" style="80" bestFit="1" customWidth="1"/>
    <col min="5632" max="5632" width="9" style="80" bestFit="1" customWidth="1"/>
    <col min="5633" max="5634" width="9" style="80"/>
    <col min="5635" max="5635" width="11.28515625" style="80" bestFit="1" customWidth="1"/>
    <col min="5636" max="5636" width="11.28515625" style="80" customWidth="1"/>
    <col min="5637" max="5637" width="7.85546875" style="80" customWidth="1"/>
    <col min="5638" max="5638" width="11" style="80" bestFit="1" customWidth="1"/>
    <col min="5639" max="5884" width="9" style="80"/>
    <col min="5885" max="5885" width="10.42578125" style="80" bestFit="1" customWidth="1"/>
    <col min="5886" max="5886" width="9" style="80"/>
    <col min="5887" max="5887" width="10" style="80" bestFit="1" customWidth="1"/>
    <col min="5888" max="5888" width="9" style="80" bestFit="1" customWidth="1"/>
    <col min="5889" max="5890" width="9" style="80"/>
    <col min="5891" max="5891" width="11.28515625" style="80" bestFit="1" customWidth="1"/>
    <col min="5892" max="5892" width="11.28515625" style="80" customWidth="1"/>
    <col min="5893" max="5893" width="7.85546875" style="80" customWidth="1"/>
    <col min="5894" max="5894" width="11" style="80" bestFit="1" customWidth="1"/>
    <col min="5895" max="6140" width="9" style="80"/>
    <col min="6141" max="6141" width="10.42578125" style="80" bestFit="1" customWidth="1"/>
    <col min="6142" max="6142" width="9" style="80"/>
    <col min="6143" max="6143" width="10" style="80" bestFit="1" customWidth="1"/>
    <col min="6144" max="6144" width="9" style="80" bestFit="1" customWidth="1"/>
    <col min="6145" max="6146" width="9" style="80"/>
    <col min="6147" max="6147" width="11.28515625" style="80" bestFit="1" customWidth="1"/>
    <col min="6148" max="6148" width="11.28515625" style="80" customWidth="1"/>
    <col min="6149" max="6149" width="7.85546875" style="80" customWidth="1"/>
    <col min="6150" max="6150" width="11" style="80" bestFit="1" customWidth="1"/>
    <col min="6151" max="6396" width="9" style="80"/>
    <col min="6397" max="6397" width="10.42578125" style="80" bestFit="1" customWidth="1"/>
    <col min="6398" max="6398" width="9" style="80"/>
    <col min="6399" max="6399" width="10" style="80" bestFit="1" customWidth="1"/>
    <col min="6400" max="6400" width="9" style="80" bestFit="1" customWidth="1"/>
    <col min="6401" max="6402" width="9" style="80"/>
    <col min="6403" max="6403" width="11.28515625" style="80" bestFit="1" customWidth="1"/>
    <col min="6404" max="6404" width="11.28515625" style="80" customWidth="1"/>
    <col min="6405" max="6405" width="7.85546875" style="80" customWidth="1"/>
    <col min="6406" max="6406" width="11" style="80" bestFit="1" customWidth="1"/>
    <col min="6407" max="6652" width="9" style="80"/>
    <col min="6653" max="6653" width="10.42578125" style="80" bestFit="1" customWidth="1"/>
    <col min="6654" max="6654" width="9" style="80"/>
    <col min="6655" max="6655" width="10" style="80" bestFit="1" customWidth="1"/>
    <col min="6656" max="6656" width="9" style="80" bestFit="1" customWidth="1"/>
    <col min="6657" max="6658" width="9" style="80"/>
    <col min="6659" max="6659" width="11.28515625" style="80" bestFit="1" customWidth="1"/>
    <col min="6660" max="6660" width="11.28515625" style="80" customWidth="1"/>
    <col min="6661" max="6661" width="7.85546875" style="80" customWidth="1"/>
    <col min="6662" max="6662" width="11" style="80" bestFit="1" customWidth="1"/>
    <col min="6663" max="6908" width="9" style="80"/>
    <col min="6909" max="6909" width="10.42578125" style="80" bestFit="1" customWidth="1"/>
    <col min="6910" max="6910" width="9" style="80"/>
    <col min="6911" max="6911" width="10" style="80" bestFit="1" customWidth="1"/>
    <col min="6912" max="6912" width="9" style="80" bestFit="1" customWidth="1"/>
    <col min="6913" max="6914" width="9" style="80"/>
    <col min="6915" max="6915" width="11.28515625" style="80" bestFit="1" customWidth="1"/>
    <col min="6916" max="6916" width="11.28515625" style="80" customWidth="1"/>
    <col min="6917" max="6917" width="7.85546875" style="80" customWidth="1"/>
    <col min="6918" max="6918" width="11" style="80" bestFit="1" customWidth="1"/>
    <col min="6919" max="7164" width="9" style="80"/>
    <col min="7165" max="7165" width="10.42578125" style="80" bestFit="1" customWidth="1"/>
    <col min="7166" max="7166" width="9" style="80"/>
    <col min="7167" max="7167" width="10" style="80" bestFit="1" customWidth="1"/>
    <col min="7168" max="7168" width="9" style="80" bestFit="1" customWidth="1"/>
    <col min="7169" max="7170" width="9" style="80"/>
    <col min="7171" max="7171" width="11.28515625" style="80" bestFit="1" customWidth="1"/>
    <col min="7172" max="7172" width="11.28515625" style="80" customWidth="1"/>
    <col min="7173" max="7173" width="7.85546875" style="80" customWidth="1"/>
    <col min="7174" max="7174" width="11" style="80" bestFit="1" customWidth="1"/>
    <col min="7175" max="7420" width="9" style="80"/>
    <col min="7421" max="7421" width="10.42578125" style="80" bestFit="1" customWidth="1"/>
    <col min="7422" max="7422" width="9" style="80"/>
    <col min="7423" max="7423" width="10" style="80" bestFit="1" customWidth="1"/>
    <col min="7424" max="7424" width="9" style="80" bestFit="1" customWidth="1"/>
    <col min="7425" max="7426" width="9" style="80"/>
    <col min="7427" max="7427" width="11.28515625" style="80" bestFit="1" customWidth="1"/>
    <col min="7428" max="7428" width="11.28515625" style="80" customWidth="1"/>
    <col min="7429" max="7429" width="7.85546875" style="80" customWidth="1"/>
    <col min="7430" max="7430" width="11" style="80" bestFit="1" customWidth="1"/>
    <col min="7431" max="7676" width="9" style="80"/>
    <col min="7677" max="7677" width="10.42578125" style="80" bestFit="1" customWidth="1"/>
    <col min="7678" max="7678" width="9" style="80"/>
    <col min="7679" max="7679" width="10" style="80" bestFit="1" customWidth="1"/>
    <col min="7680" max="7680" width="9" style="80" bestFit="1" customWidth="1"/>
    <col min="7681" max="7682" width="9" style="80"/>
    <col min="7683" max="7683" width="11.28515625" style="80" bestFit="1" customWidth="1"/>
    <col min="7684" max="7684" width="11.28515625" style="80" customWidth="1"/>
    <col min="7685" max="7685" width="7.85546875" style="80" customWidth="1"/>
    <col min="7686" max="7686" width="11" style="80" bestFit="1" customWidth="1"/>
    <col min="7687" max="7932" width="9" style="80"/>
    <col min="7933" max="7933" width="10.42578125" style="80" bestFit="1" customWidth="1"/>
    <col min="7934" max="7934" width="9" style="80"/>
    <col min="7935" max="7935" width="10" style="80" bestFit="1" customWidth="1"/>
    <col min="7936" max="7936" width="9" style="80" bestFit="1" customWidth="1"/>
    <col min="7937" max="7938" width="9" style="80"/>
    <col min="7939" max="7939" width="11.28515625" style="80" bestFit="1" customWidth="1"/>
    <col min="7940" max="7940" width="11.28515625" style="80" customWidth="1"/>
    <col min="7941" max="7941" width="7.85546875" style="80" customWidth="1"/>
    <col min="7942" max="7942" width="11" style="80" bestFit="1" customWidth="1"/>
    <col min="7943" max="8188" width="9" style="80"/>
    <col min="8189" max="8189" width="10.42578125" style="80" bestFit="1" customWidth="1"/>
    <col min="8190" max="8190" width="9" style="80"/>
    <col min="8191" max="8191" width="10" style="80" bestFit="1" customWidth="1"/>
    <col min="8192" max="8192" width="9" style="80" bestFit="1" customWidth="1"/>
    <col min="8193" max="8194" width="9" style="80"/>
    <col min="8195" max="8195" width="11.28515625" style="80" bestFit="1" customWidth="1"/>
    <col min="8196" max="8196" width="11.28515625" style="80" customWidth="1"/>
    <col min="8197" max="8197" width="7.85546875" style="80" customWidth="1"/>
    <col min="8198" max="8198" width="11" style="80" bestFit="1" customWidth="1"/>
    <col min="8199" max="8444" width="9" style="80"/>
    <col min="8445" max="8445" width="10.42578125" style="80" bestFit="1" customWidth="1"/>
    <col min="8446" max="8446" width="9" style="80"/>
    <col min="8447" max="8447" width="10" style="80" bestFit="1" customWidth="1"/>
    <col min="8448" max="8448" width="9" style="80" bestFit="1" customWidth="1"/>
    <col min="8449" max="8450" width="9" style="80"/>
    <col min="8451" max="8451" width="11.28515625" style="80" bestFit="1" customWidth="1"/>
    <col min="8452" max="8452" width="11.28515625" style="80" customWidth="1"/>
    <col min="8453" max="8453" width="7.85546875" style="80" customWidth="1"/>
    <col min="8454" max="8454" width="11" style="80" bestFit="1" customWidth="1"/>
    <col min="8455" max="8700" width="9" style="80"/>
    <col min="8701" max="8701" width="10.42578125" style="80" bestFit="1" customWidth="1"/>
    <col min="8702" max="8702" width="9" style="80"/>
    <col min="8703" max="8703" width="10" style="80" bestFit="1" customWidth="1"/>
    <col min="8704" max="8704" width="9" style="80" bestFit="1" customWidth="1"/>
    <col min="8705" max="8706" width="9" style="80"/>
    <col min="8707" max="8707" width="11.28515625" style="80" bestFit="1" customWidth="1"/>
    <col min="8708" max="8708" width="11.28515625" style="80" customWidth="1"/>
    <col min="8709" max="8709" width="7.85546875" style="80" customWidth="1"/>
    <col min="8710" max="8710" width="11" style="80" bestFit="1" customWidth="1"/>
    <col min="8711" max="8956" width="9" style="80"/>
    <col min="8957" max="8957" width="10.42578125" style="80" bestFit="1" customWidth="1"/>
    <col min="8958" max="8958" width="9" style="80"/>
    <col min="8959" max="8959" width="10" style="80" bestFit="1" customWidth="1"/>
    <col min="8960" max="8960" width="9" style="80" bestFit="1" customWidth="1"/>
    <col min="8961" max="8962" width="9" style="80"/>
    <col min="8963" max="8963" width="11.28515625" style="80" bestFit="1" customWidth="1"/>
    <col min="8964" max="8964" width="11.28515625" style="80" customWidth="1"/>
    <col min="8965" max="8965" width="7.85546875" style="80" customWidth="1"/>
    <col min="8966" max="8966" width="11" style="80" bestFit="1" customWidth="1"/>
    <col min="8967" max="9212" width="9" style="80"/>
    <col min="9213" max="9213" width="10.42578125" style="80" bestFit="1" customWidth="1"/>
    <col min="9214" max="9214" width="9" style="80"/>
    <col min="9215" max="9215" width="10" style="80" bestFit="1" customWidth="1"/>
    <col min="9216" max="9216" width="9" style="80" bestFit="1" customWidth="1"/>
    <col min="9217" max="9218" width="9" style="80"/>
    <col min="9219" max="9219" width="11.28515625" style="80" bestFit="1" customWidth="1"/>
    <col min="9220" max="9220" width="11.28515625" style="80" customWidth="1"/>
    <col min="9221" max="9221" width="7.85546875" style="80" customWidth="1"/>
    <col min="9222" max="9222" width="11" style="80" bestFit="1" customWidth="1"/>
    <col min="9223" max="9468" width="9" style="80"/>
    <col min="9469" max="9469" width="10.42578125" style="80" bestFit="1" customWidth="1"/>
    <col min="9470" max="9470" width="9" style="80"/>
    <col min="9471" max="9471" width="10" style="80" bestFit="1" customWidth="1"/>
    <col min="9472" max="9472" width="9" style="80" bestFit="1" customWidth="1"/>
    <col min="9473" max="9474" width="9" style="80"/>
    <col min="9475" max="9475" width="11.28515625" style="80" bestFit="1" customWidth="1"/>
    <col min="9476" max="9476" width="11.28515625" style="80" customWidth="1"/>
    <col min="9477" max="9477" width="7.85546875" style="80" customWidth="1"/>
    <col min="9478" max="9478" width="11" style="80" bestFit="1" customWidth="1"/>
    <col min="9479" max="9724" width="9" style="80"/>
    <col min="9725" max="9725" width="10.42578125" style="80" bestFit="1" customWidth="1"/>
    <col min="9726" max="9726" width="9" style="80"/>
    <col min="9727" max="9727" width="10" style="80" bestFit="1" customWidth="1"/>
    <col min="9728" max="9728" width="9" style="80" bestFit="1" customWidth="1"/>
    <col min="9729" max="9730" width="9" style="80"/>
    <col min="9731" max="9731" width="11.28515625" style="80" bestFit="1" customWidth="1"/>
    <col min="9732" max="9732" width="11.28515625" style="80" customWidth="1"/>
    <col min="9733" max="9733" width="7.85546875" style="80" customWidth="1"/>
    <col min="9734" max="9734" width="11" style="80" bestFit="1" customWidth="1"/>
    <col min="9735" max="9980" width="9" style="80"/>
    <col min="9981" max="9981" width="10.42578125" style="80" bestFit="1" customWidth="1"/>
    <col min="9982" max="9982" width="9" style="80"/>
    <col min="9983" max="9983" width="10" style="80" bestFit="1" customWidth="1"/>
    <col min="9984" max="9984" width="9" style="80" bestFit="1" customWidth="1"/>
    <col min="9985" max="9986" width="9" style="80"/>
    <col min="9987" max="9987" width="11.28515625" style="80" bestFit="1" customWidth="1"/>
    <col min="9988" max="9988" width="11.28515625" style="80" customWidth="1"/>
    <col min="9989" max="9989" width="7.85546875" style="80" customWidth="1"/>
    <col min="9990" max="9990" width="11" style="80" bestFit="1" customWidth="1"/>
    <col min="9991" max="10236" width="9" style="80"/>
    <col min="10237" max="10237" width="10.42578125" style="80" bestFit="1" customWidth="1"/>
    <col min="10238" max="10238" width="9" style="80"/>
    <col min="10239" max="10239" width="10" style="80" bestFit="1" customWidth="1"/>
    <col min="10240" max="10240" width="9" style="80" bestFit="1" customWidth="1"/>
    <col min="10241" max="10242" width="9" style="80"/>
    <col min="10243" max="10243" width="11.28515625" style="80" bestFit="1" customWidth="1"/>
    <col min="10244" max="10244" width="11.28515625" style="80" customWidth="1"/>
    <col min="10245" max="10245" width="7.85546875" style="80" customWidth="1"/>
    <col min="10246" max="10246" width="11" style="80" bestFit="1" customWidth="1"/>
    <col min="10247" max="10492" width="9" style="80"/>
    <col min="10493" max="10493" width="10.42578125" style="80" bestFit="1" customWidth="1"/>
    <col min="10494" max="10494" width="9" style="80"/>
    <col min="10495" max="10495" width="10" style="80" bestFit="1" customWidth="1"/>
    <col min="10496" max="10496" width="9" style="80" bestFit="1" customWidth="1"/>
    <col min="10497" max="10498" width="9" style="80"/>
    <col min="10499" max="10499" width="11.28515625" style="80" bestFit="1" customWidth="1"/>
    <col min="10500" max="10500" width="11.28515625" style="80" customWidth="1"/>
    <col min="10501" max="10501" width="7.85546875" style="80" customWidth="1"/>
    <col min="10502" max="10502" width="11" style="80" bestFit="1" customWidth="1"/>
    <col min="10503" max="10748" width="9" style="80"/>
    <col min="10749" max="10749" width="10.42578125" style="80" bestFit="1" customWidth="1"/>
    <col min="10750" max="10750" width="9" style="80"/>
    <col min="10751" max="10751" width="10" style="80" bestFit="1" customWidth="1"/>
    <col min="10752" max="10752" width="9" style="80" bestFit="1" customWidth="1"/>
    <col min="10753" max="10754" width="9" style="80"/>
    <col min="10755" max="10755" width="11.28515625" style="80" bestFit="1" customWidth="1"/>
    <col min="10756" max="10756" width="11.28515625" style="80" customWidth="1"/>
    <col min="10757" max="10757" width="7.85546875" style="80" customWidth="1"/>
    <col min="10758" max="10758" width="11" style="80" bestFit="1" customWidth="1"/>
    <col min="10759" max="11004" width="9" style="80"/>
    <col min="11005" max="11005" width="10.42578125" style="80" bestFit="1" customWidth="1"/>
    <col min="11006" max="11006" width="9" style="80"/>
    <col min="11007" max="11007" width="10" style="80" bestFit="1" customWidth="1"/>
    <col min="11008" max="11008" width="9" style="80" bestFit="1" customWidth="1"/>
    <col min="11009" max="11010" width="9" style="80"/>
    <col min="11011" max="11011" width="11.28515625" style="80" bestFit="1" customWidth="1"/>
    <col min="11012" max="11012" width="11.28515625" style="80" customWidth="1"/>
    <col min="11013" max="11013" width="7.85546875" style="80" customWidth="1"/>
    <col min="11014" max="11014" width="11" style="80" bestFit="1" customWidth="1"/>
    <col min="11015" max="11260" width="9" style="80"/>
    <col min="11261" max="11261" width="10.42578125" style="80" bestFit="1" customWidth="1"/>
    <col min="11262" max="11262" width="9" style="80"/>
    <col min="11263" max="11263" width="10" style="80" bestFit="1" customWidth="1"/>
    <col min="11264" max="11264" width="9" style="80" bestFit="1" customWidth="1"/>
    <col min="11265" max="11266" width="9" style="80"/>
    <col min="11267" max="11267" width="11.28515625" style="80" bestFit="1" customWidth="1"/>
    <col min="11268" max="11268" width="11.28515625" style="80" customWidth="1"/>
    <col min="11269" max="11269" width="7.85546875" style="80" customWidth="1"/>
    <col min="11270" max="11270" width="11" style="80" bestFit="1" customWidth="1"/>
    <col min="11271" max="11516" width="9" style="80"/>
    <col min="11517" max="11517" width="10.42578125" style="80" bestFit="1" customWidth="1"/>
    <col min="11518" max="11518" width="9" style="80"/>
    <col min="11519" max="11519" width="10" style="80" bestFit="1" customWidth="1"/>
    <col min="11520" max="11520" width="9" style="80" bestFit="1" customWidth="1"/>
    <col min="11521" max="11522" width="9" style="80"/>
    <col min="11523" max="11523" width="11.28515625" style="80" bestFit="1" customWidth="1"/>
    <col min="11524" max="11524" width="11.28515625" style="80" customWidth="1"/>
    <col min="11525" max="11525" width="7.85546875" style="80" customWidth="1"/>
    <col min="11526" max="11526" width="11" style="80" bestFit="1" customWidth="1"/>
    <col min="11527" max="11772" width="9" style="80"/>
    <col min="11773" max="11773" width="10.42578125" style="80" bestFit="1" customWidth="1"/>
    <col min="11774" max="11774" width="9" style="80"/>
    <col min="11775" max="11775" width="10" style="80" bestFit="1" customWidth="1"/>
    <col min="11776" max="11776" width="9" style="80" bestFit="1" customWidth="1"/>
    <col min="11777" max="11778" width="9" style="80"/>
    <col min="11779" max="11779" width="11.28515625" style="80" bestFit="1" customWidth="1"/>
    <col min="11780" max="11780" width="11.28515625" style="80" customWidth="1"/>
    <col min="11781" max="11781" width="7.85546875" style="80" customWidth="1"/>
    <col min="11782" max="11782" width="11" style="80" bestFit="1" customWidth="1"/>
    <col min="11783" max="12028" width="9" style="80"/>
    <col min="12029" max="12029" width="10.42578125" style="80" bestFit="1" customWidth="1"/>
    <col min="12030" max="12030" width="9" style="80"/>
    <col min="12031" max="12031" width="10" style="80" bestFit="1" customWidth="1"/>
    <col min="12032" max="12032" width="9" style="80" bestFit="1" customWidth="1"/>
    <col min="12033" max="12034" width="9" style="80"/>
    <col min="12035" max="12035" width="11.28515625" style="80" bestFit="1" customWidth="1"/>
    <col min="12036" max="12036" width="11.28515625" style="80" customWidth="1"/>
    <col min="12037" max="12037" width="7.85546875" style="80" customWidth="1"/>
    <col min="12038" max="12038" width="11" style="80" bestFit="1" customWidth="1"/>
    <col min="12039" max="12284" width="9" style="80"/>
    <col min="12285" max="12285" width="10.42578125" style="80" bestFit="1" customWidth="1"/>
    <col min="12286" max="12286" width="9" style="80"/>
    <col min="12287" max="12287" width="10" style="80" bestFit="1" customWidth="1"/>
    <col min="12288" max="12288" width="9" style="80" bestFit="1" customWidth="1"/>
    <col min="12289" max="12290" width="9" style="80"/>
    <col min="12291" max="12291" width="11.28515625" style="80" bestFit="1" customWidth="1"/>
    <col min="12292" max="12292" width="11.28515625" style="80" customWidth="1"/>
    <col min="12293" max="12293" width="7.85546875" style="80" customWidth="1"/>
    <col min="12294" max="12294" width="11" style="80" bestFit="1" customWidth="1"/>
    <col min="12295" max="12540" width="9" style="80"/>
    <col min="12541" max="12541" width="10.42578125" style="80" bestFit="1" customWidth="1"/>
    <col min="12542" max="12542" width="9" style="80"/>
    <col min="12543" max="12543" width="10" style="80" bestFit="1" customWidth="1"/>
    <col min="12544" max="12544" width="9" style="80" bestFit="1" customWidth="1"/>
    <col min="12545" max="12546" width="9" style="80"/>
    <col min="12547" max="12547" width="11.28515625" style="80" bestFit="1" customWidth="1"/>
    <col min="12548" max="12548" width="11.28515625" style="80" customWidth="1"/>
    <col min="12549" max="12549" width="7.85546875" style="80" customWidth="1"/>
    <col min="12550" max="12550" width="11" style="80" bestFit="1" customWidth="1"/>
    <col min="12551" max="12796" width="9" style="80"/>
    <col min="12797" max="12797" width="10.42578125" style="80" bestFit="1" customWidth="1"/>
    <col min="12798" max="12798" width="9" style="80"/>
    <col min="12799" max="12799" width="10" style="80" bestFit="1" customWidth="1"/>
    <col min="12800" max="12800" width="9" style="80" bestFit="1" customWidth="1"/>
    <col min="12801" max="12802" width="9" style="80"/>
    <col min="12803" max="12803" width="11.28515625" style="80" bestFit="1" customWidth="1"/>
    <col min="12804" max="12804" width="11.28515625" style="80" customWidth="1"/>
    <col min="12805" max="12805" width="7.85546875" style="80" customWidth="1"/>
    <col min="12806" max="12806" width="11" style="80" bestFit="1" customWidth="1"/>
    <col min="12807" max="13052" width="9" style="80"/>
    <col min="13053" max="13053" width="10.42578125" style="80" bestFit="1" customWidth="1"/>
    <col min="13054" max="13054" width="9" style="80"/>
    <col min="13055" max="13055" width="10" style="80" bestFit="1" customWidth="1"/>
    <col min="13056" max="13056" width="9" style="80" bestFit="1" customWidth="1"/>
    <col min="13057" max="13058" width="9" style="80"/>
    <col min="13059" max="13059" width="11.28515625" style="80" bestFit="1" customWidth="1"/>
    <col min="13060" max="13060" width="11.28515625" style="80" customWidth="1"/>
    <col min="13061" max="13061" width="7.85546875" style="80" customWidth="1"/>
    <col min="13062" max="13062" width="11" style="80" bestFit="1" customWidth="1"/>
    <col min="13063" max="13308" width="9" style="80"/>
    <col min="13309" max="13309" width="10.42578125" style="80" bestFit="1" customWidth="1"/>
    <col min="13310" max="13310" width="9" style="80"/>
    <col min="13311" max="13311" width="10" style="80" bestFit="1" customWidth="1"/>
    <col min="13312" max="13312" width="9" style="80" bestFit="1" customWidth="1"/>
    <col min="13313" max="13314" width="9" style="80"/>
    <col min="13315" max="13315" width="11.28515625" style="80" bestFit="1" customWidth="1"/>
    <col min="13316" max="13316" width="11.28515625" style="80" customWidth="1"/>
    <col min="13317" max="13317" width="7.85546875" style="80" customWidth="1"/>
    <col min="13318" max="13318" width="11" style="80" bestFit="1" customWidth="1"/>
    <col min="13319" max="13564" width="9" style="80"/>
    <col min="13565" max="13565" width="10.42578125" style="80" bestFit="1" customWidth="1"/>
    <col min="13566" max="13566" width="9" style="80"/>
    <col min="13567" max="13567" width="10" style="80" bestFit="1" customWidth="1"/>
    <col min="13568" max="13568" width="9" style="80" bestFit="1" customWidth="1"/>
    <col min="13569" max="13570" width="9" style="80"/>
    <col min="13571" max="13571" width="11.28515625" style="80" bestFit="1" customWidth="1"/>
    <col min="13572" max="13572" width="11.28515625" style="80" customWidth="1"/>
    <col min="13573" max="13573" width="7.85546875" style="80" customWidth="1"/>
    <col min="13574" max="13574" width="11" style="80" bestFit="1" customWidth="1"/>
    <col min="13575" max="13820" width="9" style="80"/>
    <col min="13821" max="13821" width="10.42578125" style="80" bestFit="1" customWidth="1"/>
    <col min="13822" max="13822" width="9" style="80"/>
    <col min="13823" max="13823" width="10" style="80" bestFit="1" customWidth="1"/>
    <col min="13824" max="13824" width="9" style="80" bestFit="1" customWidth="1"/>
    <col min="13825" max="13826" width="9" style="80"/>
    <col min="13827" max="13827" width="11.28515625" style="80" bestFit="1" customWidth="1"/>
    <col min="13828" max="13828" width="11.28515625" style="80" customWidth="1"/>
    <col min="13829" max="13829" width="7.85546875" style="80" customWidth="1"/>
    <col min="13830" max="13830" width="11" style="80" bestFit="1" customWidth="1"/>
    <col min="13831" max="14076" width="9" style="80"/>
    <col min="14077" max="14077" width="10.42578125" style="80" bestFit="1" customWidth="1"/>
    <col min="14078" max="14078" width="9" style="80"/>
    <col min="14079" max="14079" width="10" style="80" bestFit="1" customWidth="1"/>
    <col min="14080" max="14080" width="9" style="80" bestFit="1" customWidth="1"/>
    <col min="14081" max="14082" width="9" style="80"/>
    <col min="14083" max="14083" width="11.28515625" style="80" bestFit="1" customWidth="1"/>
    <col min="14084" max="14084" width="11.28515625" style="80" customWidth="1"/>
    <col min="14085" max="14085" width="7.85546875" style="80" customWidth="1"/>
    <col min="14086" max="14086" width="11" style="80" bestFit="1" customWidth="1"/>
    <col min="14087" max="14332" width="9" style="80"/>
    <col min="14333" max="14333" width="10.42578125" style="80" bestFit="1" customWidth="1"/>
    <col min="14334" max="14334" width="9" style="80"/>
    <col min="14335" max="14335" width="10" style="80" bestFit="1" customWidth="1"/>
    <col min="14336" max="14336" width="9" style="80" bestFit="1" customWidth="1"/>
    <col min="14337" max="14338" width="9" style="80"/>
    <col min="14339" max="14339" width="11.28515625" style="80" bestFit="1" customWidth="1"/>
    <col min="14340" max="14340" width="11.28515625" style="80" customWidth="1"/>
    <col min="14341" max="14341" width="7.85546875" style="80" customWidth="1"/>
    <col min="14342" max="14342" width="11" style="80" bestFit="1" customWidth="1"/>
    <col min="14343" max="14588" width="9" style="80"/>
    <col min="14589" max="14589" width="10.42578125" style="80" bestFit="1" customWidth="1"/>
    <col min="14590" max="14590" width="9" style="80"/>
    <col min="14591" max="14591" width="10" style="80" bestFit="1" customWidth="1"/>
    <col min="14592" max="14592" width="9" style="80" bestFit="1" customWidth="1"/>
    <col min="14593" max="14594" width="9" style="80"/>
    <col min="14595" max="14595" width="11.28515625" style="80" bestFit="1" customWidth="1"/>
    <col min="14596" max="14596" width="11.28515625" style="80" customWidth="1"/>
    <col min="14597" max="14597" width="7.85546875" style="80" customWidth="1"/>
    <col min="14598" max="14598" width="11" style="80" bestFit="1" customWidth="1"/>
    <col min="14599" max="14844" width="9" style="80"/>
    <col min="14845" max="14845" width="10.42578125" style="80" bestFit="1" customWidth="1"/>
    <col min="14846" max="14846" width="9" style="80"/>
    <col min="14847" max="14847" width="10" style="80" bestFit="1" customWidth="1"/>
    <col min="14848" max="14848" width="9" style="80" bestFit="1" customWidth="1"/>
    <col min="14849" max="14850" width="9" style="80"/>
    <col min="14851" max="14851" width="11.28515625" style="80" bestFit="1" customWidth="1"/>
    <col min="14852" max="14852" width="11.28515625" style="80" customWidth="1"/>
    <col min="14853" max="14853" width="7.85546875" style="80" customWidth="1"/>
    <col min="14854" max="14854" width="11" style="80" bestFit="1" customWidth="1"/>
    <col min="14855" max="15100" width="9" style="80"/>
    <col min="15101" max="15101" width="10.42578125" style="80" bestFit="1" customWidth="1"/>
    <col min="15102" max="15102" width="9" style="80"/>
    <col min="15103" max="15103" width="10" style="80" bestFit="1" customWidth="1"/>
    <col min="15104" max="15104" width="9" style="80" bestFit="1" customWidth="1"/>
    <col min="15105" max="15106" width="9" style="80"/>
    <col min="15107" max="15107" width="11.28515625" style="80" bestFit="1" customWidth="1"/>
    <col min="15108" max="15108" width="11.28515625" style="80" customWidth="1"/>
    <col min="15109" max="15109" width="7.85546875" style="80" customWidth="1"/>
    <col min="15110" max="15110" width="11" style="80" bestFit="1" customWidth="1"/>
    <col min="15111" max="15356" width="9" style="80"/>
    <col min="15357" max="15357" width="10.42578125" style="80" bestFit="1" customWidth="1"/>
    <col min="15358" max="15358" width="9" style="80"/>
    <col min="15359" max="15359" width="10" style="80" bestFit="1" customWidth="1"/>
    <col min="15360" max="15360" width="9" style="80" bestFit="1" customWidth="1"/>
    <col min="15361" max="15362" width="9" style="80"/>
    <col min="15363" max="15363" width="11.28515625" style="80" bestFit="1" customWidth="1"/>
    <col min="15364" max="15364" width="11.28515625" style="80" customWidth="1"/>
    <col min="15365" max="15365" width="7.85546875" style="80" customWidth="1"/>
    <col min="15366" max="15366" width="11" style="80" bestFit="1" customWidth="1"/>
    <col min="15367" max="15612" width="9" style="80"/>
    <col min="15613" max="15613" width="10.42578125" style="80" bestFit="1" customWidth="1"/>
    <col min="15614" max="15614" width="9" style="80"/>
    <col min="15615" max="15615" width="10" style="80" bestFit="1" customWidth="1"/>
    <col min="15616" max="15616" width="9" style="80" bestFit="1" customWidth="1"/>
    <col min="15617" max="15618" width="9" style="80"/>
    <col min="15619" max="15619" width="11.28515625" style="80" bestFit="1" customWidth="1"/>
    <col min="15620" max="15620" width="11.28515625" style="80" customWidth="1"/>
    <col min="15621" max="15621" width="7.85546875" style="80" customWidth="1"/>
    <col min="15622" max="15622" width="11" style="80" bestFit="1" customWidth="1"/>
    <col min="15623" max="15868" width="9" style="80"/>
    <col min="15869" max="15869" width="10.42578125" style="80" bestFit="1" customWidth="1"/>
    <col min="15870" max="15870" width="9" style="80"/>
    <col min="15871" max="15871" width="10" style="80" bestFit="1" customWidth="1"/>
    <col min="15872" max="15872" width="9" style="80" bestFit="1" customWidth="1"/>
    <col min="15873" max="15874" width="9" style="80"/>
    <col min="15875" max="15875" width="11.28515625" style="80" bestFit="1" customWidth="1"/>
    <col min="15876" max="15876" width="11.28515625" style="80" customWidth="1"/>
    <col min="15877" max="15877" width="7.85546875" style="80" customWidth="1"/>
    <col min="15878" max="15878" width="11" style="80" bestFit="1" customWidth="1"/>
    <col min="15879" max="16124" width="9" style="80"/>
    <col min="16125" max="16125" width="10.42578125" style="80" bestFit="1" customWidth="1"/>
    <col min="16126" max="16126" width="9" style="80"/>
    <col min="16127" max="16127" width="10" style="80" bestFit="1" customWidth="1"/>
    <col min="16128" max="16128" width="9" style="80" bestFit="1" customWidth="1"/>
    <col min="16129" max="16130" width="9" style="80"/>
    <col min="16131" max="16131" width="11.28515625" style="80" bestFit="1" customWidth="1"/>
    <col min="16132" max="16132" width="11.28515625" style="80" customWidth="1"/>
    <col min="16133" max="16133" width="7.85546875" style="80" customWidth="1"/>
    <col min="16134" max="16134" width="11" style="80" bestFit="1" customWidth="1"/>
    <col min="16135" max="16384" width="9" style="80"/>
  </cols>
  <sheetData>
    <row r="1" spans="1:11" s="91" customFormat="1" ht="32.25" customHeight="1">
      <c r="A1" s="156" t="s">
        <v>10</v>
      </c>
      <c r="B1" s="156" t="s">
        <v>11</v>
      </c>
      <c r="C1" s="156" t="s">
        <v>12</v>
      </c>
      <c r="D1" s="156" t="s">
        <v>13</v>
      </c>
      <c r="E1" s="156" t="s">
        <v>14</v>
      </c>
      <c r="F1" s="156" t="s">
        <v>15</v>
      </c>
      <c r="G1" s="156" t="s">
        <v>16</v>
      </c>
      <c r="H1" s="156" t="s">
        <v>17</v>
      </c>
      <c r="I1" s="156" t="s">
        <v>18</v>
      </c>
      <c r="J1" s="156" t="s">
        <v>19</v>
      </c>
      <c r="K1" s="156" t="s">
        <v>20</v>
      </c>
    </row>
    <row r="2" spans="1:11" ht="22.5" customHeight="1">
      <c r="A2" s="80" t="s">
        <v>21</v>
      </c>
      <c r="B2" s="80" t="s">
        <v>22</v>
      </c>
      <c r="C2" s="84">
        <v>5</v>
      </c>
      <c r="D2" s="84">
        <v>24</v>
      </c>
      <c r="E2" s="84" t="str">
        <f>IF(D2&lt;35,"FT","PT")</f>
        <v>FT</v>
      </c>
      <c r="F2" s="90">
        <v>29000</v>
      </c>
      <c r="G2" s="84">
        <v>7</v>
      </c>
      <c r="H2" s="84" t="s">
        <v>23</v>
      </c>
      <c r="I2" s="90" t="str">
        <f>IF(H2="met",F2*10%,"")</f>
        <v/>
      </c>
      <c r="J2" s="84">
        <f>IF(G2&gt;=10,27,IF(G2&gt;=5,25,23))</f>
        <v>25</v>
      </c>
      <c r="K2" s="90">
        <f>IF(C2&gt;=10,F2*15%,IF(C2&gt;=5,F2*10%,F2*5%))</f>
        <v>2900</v>
      </c>
    </row>
    <row r="3" spans="1:11" ht="22.5" customHeight="1">
      <c r="A3" s="80" t="s">
        <v>24</v>
      </c>
      <c r="B3" s="80" t="s">
        <v>25</v>
      </c>
      <c r="C3" s="84">
        <v>7</v>
      </c>
      <c r="D3" s="84">
        <v>35</v>
      </c>
      <c r="E3" s="84" t="str">
        <f t="shared" ref="E3:E13" si="0">IF(D3&lt;35,"FT","PT")</f>
        <v>PT</v>
      </c>
      <c r="F3" s="90">
        <v>41500</v>
      </c>
      <c r="G3" s="84">
        <v>1</v>
      </c>
      <c r="H3" s="84" t="s">
        <v>26</v>
      </c>
      <c r="I3" s="90">
        <f t="shared" ref="I3:I13" si="1">IF(H3="met",F3*10%,"")</f>
        <v>4150</v>
      </c>
      <c r="J3" s="84">
        <f t="shared" ref="J3:J13" si="2">IF(G3&gt;=10,27,IF(G3&gt;=5,25,23))</f>
        <v>23</v>
      </c>
      <c r="K3" s="90">
        <f t="shared" ref="K3:K13" si="3">IF(C3&gt;=10,F3*15%,IF(C3&gt;=5,F3*10%,F3*5%))</f>
        <v>4150</v>
      </c>
    </row>
    <row r="4" spans="1:11" ht="22.5" customHeight="1">
      <c r="A4" s="80" t="s">
        <v>27</v>
      </c>
      <c r="B4" s="80" t="s">
        <v>28</v>
      </c>
      <c r="C4" s="84">
        <v>7</v>
      </c>
      <c r="D4" s="84">
        <v>19</v>
      </c>
      <c r="E4" s="84" t="str">
        <f t="shared" si="0"/>
        <v>FT</v>
      </c>
      <c r="F4" s="90">
        <v>22000</v>
      </c>
      <c r="G4" s="84">
        <v>2</v>
      </c>
      <c r="H4" s="84" t="s">
        <v>26</v>
      </c>
      <c r="I4" s="90">
        <f t="shared" si="1"/>
        <v>2200</v>
      </c>
      <c r="J4" s="84">
        <f t="shared" si="2"/>
        <v>23</v>
      </c>
      <c r="K4" s="90">
        <f t="shared" si="3"/>
        <v>2200</v>
      </c>
    </row>
    <row r="5" spans="1:11" ht="22.5" customHeight="1">
      <c r="A5" s="80" t="s">
        <v>29</v>
      </c>
      <c r="B5" s="80" t="s">
        <v>30</v>
      </c>
      <c r="C5" s="84">
        <v>7</v>
      </c>
      <c r="D5" s="84">
        <v>23</v>
      </c>
      <c r="E5" s="84" t="str">
        <f t="shared" si="0"/>
        <v>FT</v>
      </c>
      <c r="F5" s="90">
        <v>25000</v>
      </c>
      <c r="G5" s="84">
        <v>2</v>
      </c>
      <c r="H5" s="84" t="s">
        <v>26</v>
      </c>
      <c r="I5" s="90">
        <f t="shared" si="1"/>
        <v>2500</v>
      </c>
      <c r="J5" s="84">
        <f t="shared" si="2"/>
        <v>23</v>
      </c>
      <c r="K5" s="90">
        <f t="shared" si="3"/>
        <v>2500</v>
      </c>
    </row>
    <row r="6" spans="1:11" ht="22.5" customHeight="1">
      <c r="A6" s="80" t="s">
        <v>31</v>
      </c>
      <c r="B6" s="80" t="s">
        <v>32</v>
      </c>
      <c r="C6" s="84">
        <v>7</v>
      </c>
      <c r="D6" s="84">
        <v>35</v>
      </c>
      <c r="E6" s="84" t="str">
        <f t="shared" si="0"/>
        <v>PT</v>
      </c>
      <c r="F6" s="90">
        <v>43500</v>
      </c>
      <c r="G6" s="84">
        <v>10</v>
      </c>
      <c r="H6" s="84" t="s">
        <v>26</v>
      </c>
      <c r="I6" s="90">
        <f t="shared" si="1"/>
        <v>4350</v>
      </c>
      <c r="J6" s="84">
        <f t="shared" si="2"/>
        <v>27</v>
      </c>
      <c r="K6" s="90">
        <f t="shared" si="3"/>
        <v>4350</v>
      </c>
    </row>
    <row r="7" spans="1:11" ht="22.5" customHeight="1">
      <c r="A7" s="80" t="s">
        <v>33</v>
      </c>
      <c r="B7" s="80" t="s">
        <v>34</v>
      </c>
      <c r="C7" s="84">
        <v>6</v>
      </c>
      <c r="D7" s="84">
        <v>35</v>
      </c>
      <c r="E7" s="84" t="str">
        <f t="shared" si="0"/>
        <v>PT</v>
      </c>
      <c r="F7" s="90">
        <v>39000</v>
      </c>
      <c r="G7" s="84">
        <v>5</v>
      </c>
      <c r="H7" s="84" t="s">
        <v>23</v>
      </c>
      <c r="I7" s="90" t="str">
        <f t="shared" si="1"/>
        <v/>
      </c>
      <c r="J7" s="84">
        <f t="shared" si="2"/>
        <v>25</v>
      </c>
      <c r="K7" s="90">
        <f t="shared" si="3"/>
        <v>3900</v>
      </c>
    </row>
    <row r="8" spans="1:11" ht="22.5" customHeight="1">
      <c r="A8" s="80" t="s">
        <v>35</v>
      </c>
      <c r="B8" s="80" t="s">
        <v>36</v>
      </c>
      <c r="C8" s="84">
        <v>11</v>
      </c>
      <c r="D8" s="84">
        <v>35</v>
      </c>
      <c r="E8" s="84" t="str">
        <f t="shared" si="0"/>
        <v>PT</v>
      </c>
      <c r="F8" s="90">
        <v>75000</v>
      </c>
      <c r="G8" s="84">
        <v>15</v>
      </c>
      <c r="H8" s="84" t="s">
        <v>37</v>
      </c>
      <c r="I8" s="90" t="str">
        <f t="shared" si="1"/>
        <v/>
      </c>
      <c r="J8" s="84">
        <f t="shared" si="2"/>
        <v>27</v>
      </c>
      <c r="K8" s="90">
        <f t="shared" si="3"/>
        <v>11250</v>
      </c>
    </row>
    <row r="9" spans="1:11" ht="22.5" customHeight="1">
      <c r="A9" s="80" t="s">
        <v>38</v>
      </c>
      <c r="B9" s="80" t="s">
        <v>39</v>
      </c>
      <c r="C9" s="84">
        <v>5</v>
      </c>
      <c r="D9" s="84">
        <v>24</v>
      </c>
      <c r="E9" s="84" t="str">
        <f t="shared" si="0"/>
        <v>FT</v>
      </c>
      <c r="F9" s="90">
        <v>29000</v>
      </c>
      <c r="G9" s="84">
        <v>2</v>
      </c>
      <c r="H9" s="84" t="s">
        <v>26</v>
      </c>
      <c r="I9" s="90">
        <f t="shared" si="1"/>
        <v>2900</v>
      </c>
      <c r="J9" s="84">
        <f t="shared" si="2"/>
        <v>23</v>
      </c>
      <c r="K9" s="90">
        <f t="shared" si="3"/>
        <v>2900</v>
      </c>
    </row>
    <row r="10" spans="1:11" ht="22.5" customHeight="1">
      <c r="A10" s="80" t="s">
        <v>40</v>
      </c>
      <c r="B10" s="80" t="s">
        <v>41</v>
      </c>
      <c r="C10" s="84">
        <v>5</v>
      </c>
      <c r="D10" s="84">
        <v>35</v>
      </c>
      <c r="E10" s="84" t="str">
        <f t="shared" si="0"/>
        <v>PT</v>
      </c>
      <c r="F10" s="90">
        <v>35000</v>
      </c>
      <c r="G10" s="84">
        <v>15</v>
      </c>
      <c r="H10" s="84" t="s">
        <v>26</v>
      </c>
      <c r="I10" s="90">
        <f t="shared" si="1"/>
        <v>3500</v>
      </c>
      <c r="J10" s="84">
        <f t="shared" si="2"/>
        <v>27</v>
      </c>
      <c r="K10" s="90">
        <f t="shared" si="3"/>
        <v>3500</v>
      </c>
    </row>
    <row r="11" spans="1:11" ht="22.5" customHeight="1">
      <c r="A11" s="80" t="s">
        <v>42</v>
      </c>
      <c r="B11" s="80" t="s">
        <v>43</v>
      </c>
      <c r="C11" s="84">
        <v>12</v>
      </c>
      <c r="D11" s="84">
        <v>35</v>
      </c>
      <c r="E11" s="84" t="str">
        <f t="shared" si="0"/>
        <v>PT</v>
      </c>
      <c r="F11" s="90">
        <v>80000</v>
      </c>
      <c r="G11" s="84">
        <v>5</v>
      </c>
      <c r="H11" s="84" t="s">
        <v>37</v>
      </c>
      <c r="I11" s="90" t="str">
        <f t="shared" si="1"/>
        <v/>
      </c>
      <c r="J11" s="84">
        <f t="shared" si="2"/>
        <v>25</v>
      </c>
      <c r="K11" s="90">
        <f t="shared" si="3"/>
        <v>12000</v>
      </c>
    </row>
    <row r="12" spans="1:11" ht="22.5" customHeight="1">
      <c r="A12" s="80" t="s">
        <v>44</v>
      </c>
      <c r="B12" s="80" t="s">
        <v>45</v>
      </c>
      <c r="C12" s="84">
        <v>8</v>
      </c>
      <c r="D12" s="84">
        <v>35</v>
      </c>
      <c r="E12" s="84" t="str">
        <f t="shared" si="0"/>
        <v>PT</v>
      </c>
      <c r="F12" s="90">
        <v>45100</v>
      </c>
      <c r="G12" s="84">
        <v>4</v>
      </c>
      <c r="H12" s="84" t="s">
        <v>26</v>
      </c>
      <c r="I12" s="90">
        <f t="shared" si="1"/>
        <v>4510</v>
      </c>
      <c r="J12" s="84">
        <f t="shared" si="2"/>
        <v>23</v>
      </c>
      <c r="K12" s="90">
        <f t="shared" si="3"/>
        <v>4510</v>
      </c>
    </row>
    <row r="13" spans="1:11" ht="22.5" customHeight="1">
      <c r="A13" s="80" t="s">
        <v>44</v>
      </c>
      <c r="B13" s="80" t="s">
        <v>46</v>
      </c>
      <c r="C13" s="84">
        <v>11</v>
      </c>
      <c r="D13" s="84">
        <v>35</v>
      </c>
      <c r="E13" s="84" t="str">
        <f t="shared" si="0"/>
        <v>PT</v>
      </c>
      <c r="F13" s="90">
        <v>75000</v>
      </c>
      <c r="G13" s="84">
        <v>25</v>
      </c>
      <c r="H13" s="84" t="s">
        <v>37</v>
      </c>
      <c r="I13" s="90" t="str">
        <f t="shared" si="1"/>
        <v/>
      </c>
      <c r="J13" s="84">
        <f t="shared" si="2"/>
        <v>27</v>
      </c>
      <c r="K13" s="90">
        <f t="shared" si="3"/>
        <v>11250</v>
      </c>
    </row>
  </sheetData>
  <sortState xmlns:xlrd2="http://schemas.microsoft.com/office/spreadsheetml/2017/richdata2" ref="A2:K13">
    <sortCondition ref="A3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8C7B-AEEF-43B5-805B-EEA1DCD4AC03}">
  <sheetPr codeName="Sheet3">
    <tabColor theme="4" tint="-0.249977111117893"/>
  </sheetPr>
  <dimension ref="A1:S26"/>
  <sheetViews>
    <sheetView zoomScaleNormal="100" workbookViewId="0">
      <selection activeCell="F14" sqref="F14"/>
    </sheetView>
  </sheetViews>
  <sheetFormatPr defaultColWidth="9.140625" defaultRowHeight="19.5" customHeight="1"/>
  <cols>
    <col min="1" max="1" width="13.28515625" style="94" bestFit="1" customWidth="1"/>
    <col min="2" max="2" width="20.7109375" style="94" customWidth="1"/>
    <col min="3" max="3" width="33.85546875" style="94" customWidth="1"/>
    <col min="4" max="4" width="12.85546875" style="94" bestFit="1" customWidth="1"/>
    <col min="5" max="5" width="12.5703125" style="98" customWidth="1"/>
    <col min="6" max="6" width="20.28515625" style="98" customWidth="1"/>
    <col min="7" max="8" width="9.140625" style="94"/>
    <col min="9" max="9" width="11" style="94" bestFit="1" customWidth="1"/>
    <col min="10" max="16384" width="9.140625" style="94"/>
  </cols>
  <sheetData>
    <row r="1" spans="1:19" ht="19.5" customHeight="1">
      <c r="A1" s="92" t="s">
        <v>47</v>
      </c>
      <c r="B1" s="92" t="s">
        <v>48</v>
      </c>
      <c r="C1" s="92" t="s">
        <v>49</v>
      </c>
      <c r="D1" s="92" t="s">
        <v>50</v>
      </c>
      <c r="E1" s="93" t="s">
        <v>51</v>
      </c>
      <c r="F1" s="93" t="s">
        <v>12</v>
      </c>
    </row>
    <row r="2" spans="1:19" ht="19.5" customHeight="1">
      <c r="A2" s="95">
        <v>3</v>
      </c>
      <c r="B2" s="95" t="s">
        <v>52</v>
      </c>
      <c r="C2" s="95" t="s">
        <v>53</v>
      </c>
      <c r="D2" s="95">
        <v>78</v>
      </c>
      <c r="E2" s="96" t="str">
        <f>IF(D2&gt;=50,"Pass","Fail")</f>
        <v>Pass</v>
      </c>
      <c r="F2" s="96" t="str">
        <f t="shared" ref="F2:F26" si="0">IF(D2&gt;=$H$13,$I$13,IF(D2&gt;=$H$14,$I$14,IF(D2&gt;=$H$15,$I$15,$I$16)))</f>
        <v>Distinction</v>
      </c>
    </row>
    <row r="3" spans="1:19" ht="19.5" customHeight="1">
      <c r="A3" s="95">
        <v>6</v>
      </c>
      <c r="B3" s="95" t="s">
        <v>54</v>
      </c>
      <c r="C3" s="95" t="s">
        <v>55</v>
      </c>
      <c r="D3" s="95">
        <v>34</v>
      </c>
      <c r="E3" s="96" t="str">
        <f t="shared" ref="E3:E26" si="1">IF(D3&gt;=50,"Pass","Fail")</f>
        <v>Fail</v>
      </c>
      <c r="F3" s="96" t="str">
        <f t="shared" si="0"/>
        <v>Fail</v>
      </c>
      <c r="G3" s="97"/>
      <c r="H3" s="97"/>
      <c r="I3" s="97"/>
    </row>
    <row r="4" spans="1:19" ht="19.5" customHeight="1">
      <c r="A4" s="95">
        <v>15</v>
      </c>
      <c r="B4" s="95" t="s">
        <v>56</v>
      </c>
      <c r="C4" s="95" t="s">
        <v>53</v>
      </c>
      <c r="D4" s="95">
        <v>78</v>
      </c>
      <c r="E4" s="96" t="str">
        <f t="shared" si="1"/>
        <v>Pass</v>
      </c>
      <c r="F4" s="96" t="str">
        <f t="shared" si="0"/>
        <v>Distinction</v>
      </c>
    </row>
    <row r="5" spans="1:19" ht="19.5" customHeight="1">
      <c r="A5" s="95">
        <v>14</v>
      </c>
      <c r="B5" s="95" t="s">
        <v>57</v>
      </c>
      <c r="C5" s="95" t="s">
        <v>58</v>
      </c>
      <c r="D5" s="95">
        <v>45</v>
      </c>
      <c r="E5" s="96" t="str">
        <f t="shared" si="1"/>
        <v>Fail</v>
      </c>
      <c r="F5" s="96" t="str">
        <f t="shared" si="0"/>
        <v>Fail</v>
      </c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</row>
    <row r="6" spans="1:19" ht="19.5" customHeight="1">
      <c r="A6" s="95">
        <v>13</v>
      </c>
      <c r="B6" s="95" t="s">
        <v>59</v>
      </c>
      <c r="C6" s="95" t="s">
        <v>60</v>
      </c>
      <c r="D6" s="95">
        <v>56</v>
      </c>
      <c r="E6" s="96" t="str">
        <f t="shared" si="1"/>
        <v>Pass</v>
      </c>
      <c r="F6" s="96" t="str">
        <f t="shared" si="0"/>
        <v>Pass</v>
      </c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</row>
    <row r="7" spans="1:19" ht="19.5" customHeight="1">
      <c r="A7" s="95">
        <v>18</v>
      </c>
      <c r="B7" s="95" t="s">
        <v>61</v>
      </c>
      <c r="C7" s="95" t="s">
        <v>55</v>
      </c>
      <c r="D7" s="95">
        <v>96</v>
      </c>
      <c r="E7" s="96" t="str">
        <f t="shared" si="1"/>
        <v>Pass</v>
      </c>
      <c r="F7" s="96" t="str">
        <f t="shared" si="0"/>
        <v>Distinction</v>
      </c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</row>
    <row r="8" spans="1:19" ht="19.5" customHeight="1">
      <c r="A8" s="95">
        <v>24</v>
      </c>
      <c r="B8" s="95" t="s">
        <v>62</v>
      </c>
      <c r="C8" s="95" t="s">
        <v>53</v>
      </c>
      <c r="D8" s="95">
        <v>56</v>
      </c>
      <c r="E8" s="96" t="str">
        <f t="shared" si="1"/>
        <v>Pass</v>
      </c>
      <c r="F8" s="96" t="str">
        <f t="shared" si="0"/>
        <v>Pass</v>
      </c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</row>
    <row r="9" spans="1:19" ht="19.5" customHeight="1">
      <c r="A9" s="95">
        <v>1</v>
      </c>
      <c r="B9" s="95" t="s">
        <v>63</v>
      </c>
      <c r="C9" s="95" t="s">
        <v>60</v>
      </c>
      <c r="D9" s="95">
        <v>60</v>
      </c>
      <c r="E9" s="96" t="str">
        <f t="shared" si="1"/>
        <v>Pass</v>
      </c>
      <c r="F9" s="96" t="str">
        <f t="shared" si="0"/>
        <v>Merit</v>
      </c>
      <c r="K9" s="98"/>
      <c r="L9" s="98"/>
      <c r="M9" s="98"/>
      <c r="N9" s="98"/>
      <c r="O9" s="98"/>
      <c r="P9" s="98"/>
      <c r="Q9" s="98"/>
      <c r="R9" s="98"/>
      <c r="S9" s="98"/>
    </row>
    <row r="10" spans="1:19" ht="19.5" customHeight="1">
      <c r="A10" s="95">
        <v>11</v>
      </c>
      <c r="B10" s="95" t="s">
        <v>64</v>
      </c>
      <c r="C10" s="95" t="s">
        <v>60</v>
      </c>
      <c r="D10" s="95">
        <v>67</v>
      </c>
      <c r="E10" s="96" t="str">
        <f t="shared" si="1"/>
        <v>Pass</v>
      </c>
      <c r="F10" s="96" t="str">
        <f t="shared" si="0"/>
        <v>Merit</v>
      </c>
      <c r="K10" s="98"/>
      <c r="L10" s="98"/>
      <c r="M10" s="98"/>
      <c r="N10" s="98"/>
      <c r="O10" s="98"/>
      <c r="P10" s="98"/>
      <c r="Q10" s="98"/>
      <c r="R10" s="98"/>
      <c r="S10" s="98"/>
    </row>
    <row r="11" spans="1:19" ht="19.5" customHeight="1">
      <c r="A11" s="95">
        <v>22</v>
      </c>
      <c r="B11" s="95" t="s">
        <v>65</v>
      </c>
      <c r="C11" s="95" t="s">
        <v>66</v>
      </c>
      <c r="D11" s="95">
        <v>67</v>
      </c>
      <c r="E11" s="96" t="str">
        <f t="shared" si="1"/>
        <v>Pass</v>
      </c>
      <c r="F11" s="96" t="str">
        <f t="shared" si="0"/>
        <v>Merit</v>
      </c>
      <c r="K11" s="98"/>
      <c r="L11" s="98"/>
      <c r="M11" s="98"/>
      <c r="N11" s="98"/>
      <c r="O11" s="98"/>
      <c r="P11" s="98"/>
      <c r="Q11" s="98"/>
      <c r="R11" s="98"/>
      <c r="S11" s="98"/>
    </row>
    <row r="12" spans="1:19" ht="19.5" customHeight="1">
      <c r="A12" s="95">
        <v>5</v>
      </c>
      <c r="B12" s="95" t="s">
        <v>67</v>
      </c>
      <c r="C12" s="95" t="s">
        <v>68</v>
      </c>
      <c r="D12" s="95">
        <v>70</v>
      </c>
      <c r="E12" s="96" t="str">
        <f t="shared" si="1"/>
        <v>Pass</v>
      </c>
      <c r="F12" s="96" t="str">
        <f t="shared" si="0"/>
        <v>Distinction</v>
      </c>
      <c r="H12" s="99" t="s">
        <v>69</v>
      </c>
      <c r="I12" s="100" t="s">
        <v>12</v>
      </c>
    </row>
    <row r="13" spans="1:19" ht="19.5" customHeight="1">
      <c r="A13" s="95">
        <v>17</v>
      </c>
      <c r="B13" s="95" t="s">
        <v>70</v>
      </c>
      <c r="C13" s="95" t="s">
        <v>68</v>
      </c>
      <c r="D13" s="95">
        <v>76</v>
      </c>
      <c r="E13" s="96" t="str">
        <f t="shared" si="1"/>
        <v>Pass</v>
      </c>
      <c r="F13" s="96" t="str">
        <f t="shared" si="0"/>
        <v>Distinction</v>
      </c>
      <c r="H13" s="95">
        <v>70</v>
      </c>
      <c r="I13" s="95" t="s">
        <v>71</v>
      </c>
    </row>
    <row r="14" spans="1:19" ht="19.5" customHeight="1">
      <c r="A14" s="95">
        <v>25</v>
      </c>
      <c r="B14" s="95" t="s">
        <v>54</v>
      </c>
      <c r="C14" s="95" t="s">
        <v>66</v>
      </c>
      <c r="D14" s="95">
        <v>76</v>
      </c>
      <c r="E14" s="96" t="str">
        <f t="shared" si="1"/>
        <v>Pass</v>
      </c>
      <c r="F14" s="96" t="str">
        <f t="shared" si="0"/>
        <v>Distinction</v>
      </c>
      <c r="H14" s="95">
        <v>60</v>
      </c>
      <c r="I14" s="95" t="s">
        <v>72</v>
      </c>
    </row>
    <row r="15" spans="1:19" ht="19.5" customHeight="1">
      <c r="A15" s="95">
        <v>7</v>
      </c>
      <c r="B15" s="95" t="s">
        <v>73</v>
      </c>
      <c r="C15" s="95" t="s">
        <v>74</v>
      </c>
      <c r="D15" s="95">
        <v>78</v>
      </c>
      <c r="E15" s="96" t="str">
        <f t="shared" si="1"/>
        <v>Pass</v>
      </c>
      <c r="F15" s="96" t="str">
        <f t="shared" si="0"/>
        <v>Distinction</v>
      </c>
      <c r="H15" s="95">
        <v>50</v>
      </c>
      <c r="I15" s="95" t="s">
        <v>75</v>
      </c>
    </row>
    <row r="16" spans="1:19" ht="19.5" customHeight="1">
      <c r="A16" s="95">
        <v>9</v>
      </c>
      <c r="B16" s="95" t="s">
        <v>76</v>
      </c>
      <c r="C16" s="95" t="s">
        <v>77</v>
      </c>
      <c r="D16" s="95">
        <v>34</v>
      </c>
      <c r="E16" s="96" t="str">
        <f t="shared" si="1"/>
        <v>Fail</v>
      </c>
      <c r="F16" s="96" t="str">
        <f t="shared" si="0"/>
        <v>Fail</v>
      </c>
      <c r="H16" s="95"/>
      <c r="I16" s="95" t="s">
        <v>78</v>
      </c>
    </row>
    <row r="17" spans="1:6" ht="19.5" customHeight="1">
      <c r="A17" s="95">
        <v>21</v>
      </c>
      <c r="B17" s="95" t="s">
        <v>79</v>
      </c>
      <c r="C17" s="95" t="s">
        <v>77</v>
      </c>
      <c r="D17" s="95">
        <v>78</v>
      </c>
      <c r="E17" s="96" t="str">
        <f t="shared" si="1"/>
        <v>Pass</v>
      </c>
      <c r="F17" s="96" t="str">
        <f t="shared" si="0"/>
        <v>Distinction</v>
      </c>
    </row>
    <row r="18" spans="1:6" ht="19.5" customHeight="1">
      <c r="A18" s="95">
        <v>8</v>
      </c>
      <c r="B18" s="95" t="s">
        <v>80</v>
      </c>
      <c r="C18" s="95" t="s">
        <v>81</v>
      </c>
      <c r="D18" s="95">
        <v>87</v>
      </c>
      <c r="E18" s="96" t="str">
        <f t="shared" si="1"/>
        <v>Pass</v>
      </c>
      <c r="F18" s="96" t="str">
        <f t="shared" si="0"/>
        <v>Distinction</v>
      </c>
    </row>
    <row r="19" spans="1:6" ht="19.5" customHeight="1">
      <c r="A19" s="95">
        <v>12</v>
      </c>
      <c r="B19" s="95" t="s">
        <v>82</v>
      </c>
      <c r="C19" s="95" t="s">
        <v>66</v>
      </c>
      <c r="D19" s="95">
        <v>87</v>
      </c>
      <c r="E19" s="96" t="str">
        <f t="shared" si="1"/>
        <v>Pass</v>
      </c>
      <c r="F19" s="96" t="str">
        <f t="shared" si="0"/>
        <v>Distinction</v>
      </c>
    </row>
    <row r="20" spans="1:6" ht="19.5" customHeight="1">
      <c r="A20" s="95">
        <v>23</v>
      </c>
      <c r="B20" s="95" t="s">
        <v>83</v>
      </c>
      <c r="C20" s="95" t="s">
        <v>58</v>
      </c>
      <c r="D20" s="95">
        <v>34</v>
      </c>
      <c r="E20" s="96" t="str">
        <f t="shared" si="1"/>
        <v>Fail</v>
      </c>
      <c r="F20" s="96" t="str">
        <f t="shared" si="0"/>
        <v>Fail</v>
      </c>
    </row>
    <row r="21" spans="1:6" ht="19.5" customHeight="1">
      <c r="A21" s="95">
        <v>10</v>
      </c>
      <c r="B21" s="95" t="s">
        <v>84</v>
      </c>
      <c r="C21" s="95" t="s">
        <v>66</v>
      </c>
      <c r="D21" s="95">
        <v>89</v>
      </c>
      <c r="E21" s="96" t="str">
        <f t="shared" si="1"/>
        <v>Pass</v>
      </c>
      <c r="F21" s="96" t="str">
        <f t="shared" si="0"/>
        <v>Distinction</v>
      </c>
    </row>
    <row r="22" spans="1:6" ht="19.5" customHeight="1">
      <c r="A22" s="95">
        <v>20</v>
      </c>
      <c r="B22" s="95" t="s">
        <v>85</v>
      </c>
      <c r="C22" s="95" t="s">
        <v>81</v>
      </c>
      <c r="D22" s="95">
        <v>89</v>
      </c>
      <c r="E22" s="96" t="str">
        <f t="shared" si="1"/>
        <v>Pass</v>
      </c>
      <c r="F22" s="96" t="str">
        <f t="shared" si="0"/>
        <v>Distinction</v>
      </c>
    </row>
    <row r="23" spans="1:6" ht="19.5" customHeight="1">
      <c r="A23" s="95">
        <v>2</v>
      </c>
      <c r="B23" s="101" t="s">
        <v>86</v>
      </c>
      <c r="C23" s="101" t="s">
        <v>58</v>
      </c>
      <c r="D23" s="101">
        <v>90</v>
      </c>
      <c r="E23" s="96" t="str">
        <f t="shared" si="1"/>
        <v>Pass</v>
      </c>
      <c r="F23" s="96" t="str">
        <f t="shared" si="0"/>
        <v>Distinction</v>
      </c>
    </row>
    <row r="24" spans="1:6" ht="19.5" customHeight="1">
      <c r="A24" s="95">
        <v>4</v>
      </c>
      <c r="B24" s="95" t="s">
        <v>87</v>
      </c>
      <c r="C24" s="95" t="s">
        <v>88</v>
      </c>
      <c r="D24" s="95">
        <v>55</v>
      </c>
      <c r="E24" s="96" t="str">
        <f t="shared" si="1"/>
        <v>Pass</v>
      </c>
      <c r="F24" s="96" t="str">
        <f t="shared" si="0"/>
        <v>Pass</v>
      </c>
    </row>
    <row r="25" spans="1:6" ht="19.5" customHeight="1">
      <c r="A25" s="95">
        <v>16</v>
      </c>
      <c r="B25" s="95" t="s">
        <v>89</v>
      </c>
      <c r="C25" s="95" t="s">
        <v>88</v>
      </c>
      <c r="D25" s="95">
        <v>98</v>
      </c>
      <c r="E25" s="96" t="str">
        <f t="shared" si="1"/>
        <v>Pass</v>
      </c>
      <c r="F25" s="96" t="str">
        <f t="shared" si="0"/>
        <v>Distinction</v>
      </c>
    </row>
    <row r="26" spans="1:6" ht="19.5" customHeight="1">
      <c r="A26" s="95">
        <v>19</v>
      </c>
      <c r="B26" s="95" t="s">
        <v>90</v>
      </c>
      <c r="C26" s="95" t="s">
        <v>74</v>
      </c>
      <c r="D26" s="95">
        <v>99</v>
      </c>
      <c r="E26" s="96" t="str">
        <f t="shared" si="1"/>
        <v>Pass</v>
      </c>
      <c r="F26" s="96" t="str">
        <f t="shared" si="0"/>
        <v>Distinction</v>
      </c>
    </row>
  </sheetData>
  <autoFilter ref="A1:F26" xr:uid="{00000000-0009-0000-0000-000002000000}">
    <sortState xmlns:xlrd2="http://schemas.microsoft.com/office/spreadsheetml/2017/richdata2" ref="A2:F26">
      <sortCondition ref="D1:D26"/>
    </sortState>
  </autoFilter>
  <pageMargins left="0.7" right="0.7" top="0.75" bottom="0.75" header="0.3" footer="0.3"/>
  <pageSetup paperSize="9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7BA97-C89B-42B9-9C83-3BA6B4E513FA}">
  <sheetPr codeName="Sheet6">
    <tabColor rgb="FF7030A0"/>
  </sheetPr>
  <dimension ref="A1:O170"/>
  <sheetViews>
    <sheetView zoomScale="110" zoomScaleNormal="110" workbookViewId="0">
      <pane ySplit="1" topLeftCell="A2" activePane="bottomLeft" state="frozen"/>
      <selection pane="bottomLeft" activeCell="H13" sqref="H13"/>
      <selection activeCell="B1" sqref="B1:B1048576"/>
    </sheetView>
  </sheetViews>
  <sheetFormatPr defaultColWidth="11.7109375" defaultRowHeight="15"/>
  <cols>
    <col min="1" max="2" width="11.7109375" style="1"/>
    <col min="3" max="3" width="9.7109375" style="1" customWidth="1"/>
    <col min="4" max="7" width="11.7109375" style="1"/>
    <col min="8" max="8" width="12.85546875" style="1" bestFit="1" customWidth="1"/>
    <col min="9" max="9" width="11.7109375" style="1"/>
    <col min="10" max="10" width="11.7109375" style="14"/>
    <col min="11" max="16384" width="11.7109375" style="1"/>
  </cols>
  <sheetData>
    <row r="1" spans="1:15" s="3" customFormat="1" ht="15.75">
      <c r="A1" s="47" t="s">
        <v>91</v>
      </c>
      <c r="B1" s="48" t="s">
        <v>92</v>
      </c>
      <c r="C1" s="48" t="s">
        <v>93</v>
      </c>
      <c r="D1" s="48" t="s">
        <v>94</v>
      </c>
      <c r="E1" s="48" t="s">
        <v>95</v>
      </c>
      <c r="F1" s="48" t="s">
        <v>96</v>
      </c>
      <c r="G1" s="48" t="s">
        <v>97</v>
      </c>
      <c r="H1" s="48" t="s">
        <v>98</v>
      </c>
      <c r="I1" s="49" t="s">
        <v>99</v>
      </c>
      <c r="J1" s="58">
        <v>1</v>
      </c>
      <c r="K1" s="2">
        <v>2</v>
      </c>
      <c r="L1" s="2">
        <v>3</v>
      </c>
      <c r="M1" s="2">
        <v>4</v>
      </c>
      <c r="N1" s="2">
        <v>5</v>
      </c>
      <c r="O1" s="2">
        <v>6</v>
      </c>
    </row>
    <row r="2" spans="1:15">
      <c r="A2" s="4" t="s">
        <v>100</v>
      </c>
      <c r="B2" s="1" t="s">
        <v>101</v>
      </c>
      <c r="C2" s="1" t="s">
        <v>102</v>
      </c>
      <c r="D2" s="1" t="s">
        <v>101</v>
      </c>
      <c r="E2" s="1" t="s">
        <v>103</v>
      </c>
      <c r="F2" s="1" t="s">
        <v>104</v>
      </c>
      <c r="G2" s="1" t="s">
        <v>105</v>
      </c>
      <c r="H2" s="5">
        <v>6943.91</v>
      </c>
      <c r="I2" s="6">
        <f ca="1">TODAY()+90</f>
        <v>45460</v>
      </c>
      <c r="J2" s="14" t="str">
        <f>IF(AND(B2="Jsy",C2="EF"),"Attention!","")</f>
        <v/>
      </c>
      <c r="K2" s="7" t="str">
        <f>IF(OR(E2="No",F2="No",G2="No"),"Chase","")</f>
        <v>Chase</v>
      </c>
      <c r="L2" s="1" t="str">
        <f>IF(AND(C2="EF",D2="Moore"),"Review","")</f>
        <v/>
      </c>
      <c r="M2" s="1" t="str">
        <f>IF(OR(B2="Jsy",H2="&gt;10000"),"Priority","")</f>
        <v/>
      </c>
      <c r="N2" s="1" t="str">
        <f>IF(AND(E2="Yes",F2="Yes",G2="Yes"),"Completed","")</f>
        <v/>
      </c>
      <c r="O2" s="1" t="str">
        <f ca="1">IF(AND(B2="Jsy",I2&lt;=TODAY()),"Overdue","")</f>
        <v/>
      </c>
    </row>
    <row r="3" spans="1:15">
      <c r="A3" s="4" t="s">
        <v>106</v>
      </c>
      <c r="B3" s="1" t="s">
        <v>107</v>
      </c>
      <c r="C3" s="1" t="s">
        <v>108</v>
      </c>
      <c r="D3" s="1" t="s">
        <v>101</v>
      </c>
      <c r="E3" s="1" t="s">
        <v>103</v>
      </c>
      <c r="F3" s="1" t="s">
        <v>104</v>
      </c>
      <c r="G3" s="1" t="s">
        <v>105</v>
      </c>
      <c r="H3" s="5">
        <v>10017.92</v>
      </c>
      <c r="I3" s="6">
        <v>44327</v>
      </c>
      <c r="J3" s="14" t="str">
        <f>IF(AND(B3="Jsy",C3="EF"),"Attention!","")</f>
        <v/>
      </c>
      <c r="K3" s="7" t="str">
        <f>IF(OR(E3="No",F3="No",G3="No"),"Chase","")</f>
        <v>Chase</v>
      </c>
      <c r="L3" s="1" t="str">
        <f>IF(AND(C3="EF",D3="Moore"),"Review","")</f>
        <v/>
      </c>
      <c r="M3" s="1" t="str">
        <f>IF(OR(B3="Jsy",H3="&gt;10000"),"Priority","")</f>
        <v>Priority</v>
      </c>
      <c r="N3" s="1" t="str">
        <f>IF(AND(E3="Yes",F3="Yes",G3="Yes"),"Completed","")</f>
        <v/>
      </c>
      <c r="O3" s="1" t="str">
        <f ca="1">IF(AND(B3="Jsy",I3&lt;=TODAY()),"Overdue","")</f>
        <v>Overdue</v>
      </c>
    </row>
    <row r="4" spans="1:15">
      <c r="A4" s="4" t="s">
        <v>109</v>
      </c>
      <c r="B4" s="1" t="s">
        <v>101</v>
      </c>
      <c r="C4" s="1" t="s">
        <v>108</v>
      </c>
      <c r="D4" s="1" t="s">
        <v>101</v>
      </c>
      <c r="E4" s="1" t="s">
        <v>105</v>
      </c>
      <c r="F4" s="1" t="s">
        <v>105</v>
      </c>
      <c r="G4" s="1" t="s">
        <v>105</v>
      </c>
      <c r="H4" s="5">
        <v>10500</v>
      </c>
      <c r="I4" s="6">
        <v>44696</v>
      </c>
      <c r="J4" s="14" t="str">
        <f>IF(AND(B4="Jsy",C4="EF"),"Attention!","")</f>
        <v/>
      </c>
      <c r="K4" s="7" t="str">
        <f>IF(OR(E4="No",F4="No",G4="No"),"Chase","")</f>
        <v>Chase</v>
      </c>
      <c r="L4" s="1" t="str">
        <f>IF(AND(C4="EF",D4="Moore"),"Review","")</f>
        <v/>
      </c>
      <c r="M4" s="1" t="str">
        <f>IF(OR(B4="Jsy",H4="&gt;10000"),"Priority","")</f>
        <v/>
      </c>
      <c r="N4" s="1" t="str">
        <f>IF(AND(E4="Yes",F4="Yes",G4="Yes"),"Completed","")</f>
        <v/>
      </c>
      <c r="O4" s="1" t="str">
        <f ca="1">IF(AND(B4="Jsy",I4&lt;=TODAY()),"Overdue","")</f>
        <v/>
      </c>
    </row>
    <row r="5" spans="1:15">
      <c r="A5" s="4" t="s">
        <v>109</v>
      </c>
      <c r="B5" s="1" t="s">
        <v>101</v>
      </c>
      <c r="C5" s="1" t="s">
        <v>102</v>
      </c>
      <c r="D5" s="1" t="s">
        <v>101</v>
      </c>
      <c r="E5" s="1" t="s">
        <v>105</v>
      </c>
      <c r="F5" s="1" t="s">
        <v>103</v>
      </c>
      <c r="G5" s="1" t="s">
        <v>105</v>
      </c>
      <c r="H5" s="5">
        <v>13133</v>
      </c>
      <c r="I5" s="6">
        <v>44638</v>
      </c>
      <c r="J5" s="14" t="str">
        <f>IF(AND(B5="Jsy",C5="EF"),"Attention!","")</f>
        <v/>
      </c>
      <c r="K5" s="7" t="str">
        <f>IF(OR(E5="No",F5="No",G5="No"),"Chase","")</f>
        <v>Chase</v>
      </c>
      <c r="L5" s="1" t="str">
        <f>IF(AND(C5="EF",D5="Moore"),"Review","")</f>
        <v/>
      </c>
      <c r="M5" s="1" t="str">
        <f>IF(OR(B5="Jsy",H5="&gt;10000"),"Priority","")</f>
        <v/>
      </c>
      <c r="N5" s="1" t="str">
        <f>IF(AND(E5="Yes",F5="Yes",G5="Yes"),"Completed","")</f>
        <v/>
      </c>
      <c r="O5" s="1" t="str">
        <f ca="1">IF(AND(B5="Jsy",I5&lt;=TODAY()),"Overdue","")</f>
        <v/>
      </c>
    </row>
    <row r="6" spans="1:15">
      <c r="A6" s="4" t="s">
        <v>110</v>
      </c>
      <c r="B6" s="1" t="s">
        <v>111</v>
      </c>
      <c r="C6" s="1" t="s">
        <v>108</v>
      </c>
      <c r="D6" s="1" t="s">
        <v>101</v>
      </c>
      <c r="E6" s="1" t="s">
        <v>105</v>
      </c>
      <c r="F6" s="1" t="s">
        <v>103</v>
      </c>
      <c r="G6" s="1" t="s">
        <v>105</v>
      </c>
      <c r="H6" s="5">
        <v>53293</v>
      </c>
      <c r="I6" s="6">
        <v>44659</v>
      </c>
      <c r="J6" s="14" t="str">
        <f>IF(AND(B6="Jsy",C6="EF"),"Attention!","")</f>
        <v/>
      </c>
      <c r="K6" s="7" t="str">
        <f>IF(OR(E6="No",F6="No",G6="No"),"Chase","")</f>
        <v>Chase</v>
      </c>
      <c r="L6" s="1" t="str">
        <f>IF(AND(C6="EF",D6="Moore"),"Review","")</f>
        <v/>
      </c>
      <c r="M6" s="1" t="str">
        <f>IF(OR(B6="Jsy",H6="&gt;10000"),"Priority","")</f>
        <v/>
      </c>
      <c r="N6" s="1" t="str">
        <f>IF(AND(E6="Yes",F6="Yes",G6="Yes"),"Completed","")</f>
        <v/>
      </c>
      <c r="O6" s="1" t="str">
        <f ca="1">IF(AND(B6="Jsy",I6&lt;=TODAY()),"Overdue","")</f>
        <v/>
      </c>
    </row>
    <row r="7" spans="1:15">
      <c r="A7" s="4" t="s">
        <v>106</v>
      </c>
      <c r="B7" s="1" t="s">
        <v>107</v>
      </c>
      <c r="C7" s="1" t="s">
        <v>108</v>
      </c>
      <c r="D7" s="1" t="s">
        <v>101</v>
      </c>
      <c r="E7" s="1" t="s">
        <v>103</v>
      </c>
      <c r="F7" s="1" t="s">
        <v>104</v>
      </c>
      <c r="G7" s="1" t="s">
        <v>105</v>
      </c>
      <c r="H7" s="5">
        <v>55564</v>
      </c>
      <c r="I7" s="6">
        <v>44324</v>
      </c>
      <c r="J7" s="14" t="str">
        <f>IF(AND(B7="Jsy",C7="EF"),"Attention!","")</f>
        <v/>
      </c>
      <c r="K7" s="7" t="str">
        <f>IF(OR(E7="No",F7="No",G7="No"),"Chase","")</f>
        <v>Chase</v>
      </c>
      <c r="L7" s="1" t="str">
        <f>IF(AND(C7="EF",D7="Moore"),"Review","")</f>
        <v/>
      </c>
      <c r="M7" s="1" t="str">
        <f>IF(OR(B7="Jsy",H7="&gt;10000"),"Priority","")</f>
        <v>Priority</v>
      </c>
      <c r="N7" s="1" t="str">
        <f>IF(AND(E7="Yes",F7="Yes",G7="Yes"),"Completed","")</f>
        <v/>
      </c>
      <c r="O7" s="1" t="str">
        <f ca="1">IF(AND(B7="Jsy",I7&lt;=TODAY()),"Overdue","")</f>
        <v>Overdue</v>
      </c>
    </row>
    <row r="8" spans="1:15">
      <c r="A8" s="4" t="s">
        <v>109</v>
      </c>
      <c r="B8" s="1" t="s">
        <v>107</v>
      </c>
      <c r="C8" s="1" t="s">
        <v>112</v>
      </c>
      <c r="D8" s="1" t="s">
        <v>113</v>
      </c>
      <c r="E8" s="1" t="s">
        <v>105</v>
      </c>
      <c r="F8" s="1" t="s">
        <v>105</v>
      </c>
      <c r="G8" s="1" t="s">
        <v>105</v>
      </c>
      <c r="H8" s="5">
        <v>3120.2</v>
      </c>
      <c r="I8" s="6">
        <v>44737</v>
      </c>
      <c r="J8" s="14" t="str">
        <f>IF(AND(B8="Jsy",C8="EF"),"Attention!","")</f>
        <v/>
      </c>
      <c r="K8" s="7" t="str">
        <f>IF(OR(E8="No",F8="No",G8="No"),"Chase","")</f>
        <v>Chase</v>
      </c>
      <c r="L8" s="1" t="str">
        <f>IF(AND(C8="EF",D8="Moore"),"Review","")</f>
        <v/>
      </c>
      <c r="M8" s="1" t="str">
        <f>IF(OR(B8="Jsy",H8="&gt;10000"),"Priority","")</f>
        <v>Priority</v>
      </c>
      <c r="N8" s="1" t="str">
        <f>IF(AND(E8="Yes",F8="Yes",G8="Yes"),"Completed","")</f>
        <v/>
      </c>
      <c r="O8" s="1" t="str">
        <f ca="1">IF(AND(B8="Jsy",I8&lt;=TODAY()),"Overdue","")</f>
        <v>Overdue</v>
      </c>
    </row>
    <row r="9" spans="1:15">
      <c r="A9" s="4" t="s">
        <v>109</v>
      </c>
      <c r="B9" s="1" t="s">
        <v>107</v>
      </c>
      <c r="C9" s="1" t="s">
        <v>112</v>
      </c>
      <c r="D9" s="1" t="s">
        <v>113</v>
      </c>
      <c r="E9" s="1" t="s">
        <v>103</v>
      </c>
      <c r="F9" s="1" t="s">
        <v>105</v>
      </c>
      <c r="G9" s="1" t="s">
        <v>105</v>
      </c>
      <c r="H9" s="5">
        <v>10071.200000000001</v>
      </c>
      <c r="I9" s="6">
        <v>44676</v>
      </c>
      <c r="J9" s="14" t="str">
        <f>IF(AND(B9="Jsy",C9="EF"),"Attention!","")</f>
        <v/>
      </c>
      <c r="K9" s="7" t="str">
        <f>IF(OR(E9="No",F9="No",G9="No"),"Chase","")</f>
        <v>Chase</v>
      </c>
      <c r="L9" s="1" t="str">
        <f>IF(AND(C9="EF",D9="Moore"),"Review","")</f>
        <v/>
      </c>
      <c r="M9" s="1" t="str">
        <f>IF(OR(B9="Jsy",H9="&gt;10000"),"Priority","")</f>
        <v>Priority</v>
      </c>
      <c r="N9" s="1" t="str">
        <f>IF(AND(E9="Yes",F9="Yes",G9="Yes"),"Completed","")</f>
        <v/>
      </c>
      <c r="O9" s="1" t="str">
        <f ca="1">IF(AND(B9="Jsy",I9&lt;=TODAY()),"Overdue","")</f>
        <v>Overdue</v>
      </c>
    </row>
    <row r="10" spans="1:15">
      <c r="A10" s="4" t="s">
        <v>109</v>
      </c>
      <c r="B10" s="1" t="s">
        <v>107</v>
      </c>
      <c r="C10" s="1" t="s">
        <v>112</v>
      </c>
      <c r="D10" s="1" t="s">
        <v>113</v>
      </c>
      <c r="E10" s="1" t="s">
        <v>105</v>
      </c>
      <c r="F10" s="1" t="s">
        <v>105</v>
      </c>
      <c r="G10" s="1" t="s">
        <v>105</v>
      </c>
      <c r="H10" s="5">
        <v>10075</v>
      </c>
      <c r="I10" s="6">
        <v>44620</v>
      </c>
      <c r="J10" s="14" t="str">
        <f>IF(AND(B10="Jsy",C10="EF"),"Attention!","")</f>
        <v/>
      </c>
      <c r="K10" s="7" t="str">
        <f>IF(OR(E10="No",F10="No",G10="No"),"Chase","")</f>
        <v>Chase</v>
      </c>
      <c r="L10" s="1" t="str">
        <f>IF(AND(C10="EF",D10="Moore"),"Review","")</f>
        <v/>
      </c>
      <c r="M10" s="1" t="str">
        <f>IF(OR(B10="Jsy",H10="&gt;10000"),"Priority","")</f>
        <v>Priority</v>
      </c>
      <c r="N10" s="1" t="str">
        <f>IF(AND(E10="Yes",F10="Yes",G10="Yes"),"Completed","")</f>
        <v/>
      </c>
      <c r="O10" s="1" t="str">
        <f ca="1">IF(AND(B10="Jsy",I10&lt;=TODAY()),"Overdue","")</f>
        <v>Overdue</v>
      </c>
    </row>
    <row r="11" spans="1:15">
      <c r="A11" s="4" t="s">
        <v>109</v>
      </c>
      <c r="B11" s="1" t="s">
        <v>101</v>
      </c>
      <c r="C11" s="1" t="s">
        <v>114</v>
      </c>
      <c r="D11" s="1" t="s">
        <v>115</v>
      </c>
      <c r="E11" s="1" t="s">
        <v>105</v>
      </c>
      <c r="F11" s="1" t="s">
        <v>103</v>
      </c>
      <c r="G11" s="1" t="s">
        <v>105</v>
      </c>
      <c r="H11" s="5">
        <v>5846.26</v>
      </c>
      <c r="I11" s="6">
        <v>44665</v>
      </c>
      <c r="J11" s="14" t="str">
        <f>IF(AND(B11="Jsy",C11="EF"),"Attention!","")</f>
        <v/>
      </c>
      <c r="K11" s="7" t="str">
        <f>IF(OR(E11="No",F11="No",G11="No"),"Chase","")</f>
        <v>Chase</v>
      </c>
      <c r="L11" s="1" t="str">
        <f>IF(AND(C11="EF",D11="Moore"),"Review","")</f>
        <v/>
      </c>
      <c r="M11" s="1" t="str">
        <f>IF(OR(B11="Jsy",H11="&gt;10000"),"Priority","")</f>
        <v/>
      </c>
      <c r="N11" s="1" t="str">
        <f>IF(AND(E11="Yes",F11="Yes",G11="Yes"),"Completed","")</f>
        <v/>
      </c>
      <c r="O11" s="1" t="str">
        <f ca="1">IF(AND(B11="Jsy",I11&lt;=TODAY()),"Overdue","")</f>
        <v/>
      </c>
    </row>
    <row r="12" spans="1:15">
      <c r="A12" s="4" t="s">
        <v>109</v>
      </c>
      <c r="B12" s="1" t="s">
        <v>116</v>
      </c>
      <c r="C12" s="1" t="s">
        <v>114</v>
      </c>
      <c r="D12" s="1" t="s">
        <v>115</v>
      </c>
      <c r="E12" s="1" t="s">
        <v>105</v>
      </c>
      <c r="F12" s="1" t="s">
        <v>105</v>
      </c>
      <c r="G12" s="1" t="s">
        <v>105</v>
      </c>
      <c r="H12" s="5">
        <v>6500</v>
      </c>
      <c r="I12" s="6">
        <v>44650</v>
      </c>
      <c r="J12" s="14" t="str">
        <f>IF(AND(B12="Jsy",C12="EF"),"Attention!","")</f>
        <v/>
      </c>
      <c r="K12" s="7" t="str">
        <f>IF(OR(E12="No",F12="No",G12="No"),"Chase","")</f>
        <v>Chase</v>
      </c>
      <c r="L12" s="1" t="str">
        <f>IF(AND(C12="EF",D12="Moore"),"Review","")</f>
        <v/>
      </c>
      <c r="M12" s="1" t="str">
        <f>IF(OR(B12="Jsy",H12="&gt;10000"),"Priority","")</f>
        <v/>
      </c>
      <c r="N12" s="1" t="str">
        <f>IF(AND(E12="Yes",F12="Yes",G12="Yes"),"Completed","")</f>
        <v/>
      </c>
      <c r="O12" s="1" t="str">
        <f ca="1">IF(AND(B12="Jsy",I12&lt;=TODAY()),"Overdue","")</f>
        <v/>
      </c>
    </row>
    <row r="13" spans="1:15">
      <c r="A13" s="4" t="s">
        <v>109</v>
      </c>
      <c r="B13" s="1" t="s">
        <v>107</v>
      </c>
      <c r="C13" s="1" t="s">
        <v>114</v>
      </c>
      <c r="D13" s="1" t="s">
        <v>115</v>
      </c>
      <c r="E13" s="1" t="s">
        <v>105</v>
      </c>
      <c r="F13" s="1" t="s">
        <v>105</v>
      </c>
      <c r="G13" s="1" t="s">
        <v>105</v>
      </c>
      <c r="H13" s="5">
        <v>9750</v>
      </c>
      <c r="I13" s="6">
        <v>44693</v>
      </c>
      <c r="J13" s="14" t="str">
        <f>IF(AND(B13="Jsy",C13="EF"),"Attention!","")</f>
        <v>Attention!</v>
      </c>
      <c r="K13" s="7" t="str">
        <f>IF(OR(E13="No",F13="No",G13="No"),"Chase","")</f>
        <v>Chase</v>
      </c>
      <c r="L13" s="1" t="str">
        <f>IF(AND(C13="EF",D13="Moore"),"Review","")</f>
        <v/>
      </c>
      <c r="M13" s="1" t="str">
        <f>IF(OR(B13="Jsy",H13="&gt;10000"),"Priority","")</f>
        <v>Priority</v>
      </c>
      <c r="N13" s="1" t="str">
        <f>IF(AND(E13="Yes",F13="Yes",G13="Yes"),"Completed","")</f>
        <v/>
      </c>
      <c r="O13" s="1" t="str">
        <f ca="1">IF(AND(B13="Jsy",I13&lt;=TODAY()),"Overdue","")</f>
        <v>Overdue</v>
      </c>
    </row>
    <row r="14" spans="1:15">
      <c r="A14" s="4" t="s">
        <v>100</v>
      </c>
      <c r="B14" s="1" t="s">
        <v>116</v>
      </c>
      <c r="C14" s="1" t="s">
        <v>114</v>
      </c>
      <c r="D14" s="1" t="s">
        <v>115</v>
      </c>
      <c r="E14" s="1" t="s">
        <v>103</v>
      </c>
      <c r="F14" s="1" t="s">
        <v>104</v>
      </c>
      <c r="G14" s="1" t="s">
        <v>105</v>
      </c>
      <c r="H14" s="5">
        <v>10100</v>
      </c>
      <c r="I14" s="6">
        <v>44303</v>
      </c>
      <c r="J14" s="14" t="str">
        <f>IF(AND(B14="Jsy",C14="EF"),"Attention!","")</f>
        <v/>
      </c>
      <c r="K14" s="7" t="str">
        <f>IF(OR(E14="No",F14="No",G14="No"),"Chase","")</f>
        <v>Chase</v>
      </c>
      <c r="L14" s="1" t="str">
        <f>IF(AND(C14="EF",D14="Moore"),"Review","")</f>
        <v/>
      </c>
      <c r="M14" s="1" t="str">
        <f>IF(OR(B14="Jsy",H14="&gt;10000"),"Priority","")</f>
        <v/>
      </c>
      <c r="N14" s="1" t="str">
        <f>IF(AND(E14="Yes",F14="Yes",G14="Yes"),"Completed","")</f>
        <v/>
      </c>
      <c r="O14" s="1" t="str">
        <f ca="1">IF(AND(B14="Jsy",I14&lt;=TODAY()),"Overdue","")</f>
        <v/>
      </c>
    </row>
    <row r="15" spans="1:15">
      <c r="A15" s="4" t="s">
        <v>100</v>
      </c>
      <c r="B15" s="1" t="s">
        <v>101</v>
      </c>
      <c r="C15" s="1" t="s">
        <v>114</v>
      </c>
      <c r="D15" s="1" t="s">
        <v>115</v>
      </c>
      <c r="E15" s="1" t="s">
        <v>103</v>
      </c>
      <c r="F15" s="1" t="s">
        <v>104</v>
      </c>
      <c r="G15" s="1" t="s">
        <v>105</v>
      </c>
      <c r="H15" s="5">
        <v>10233.67</v>
      </c>
      <c r="I15" s="6">
        <v>44296</v>
      </c>
      <c r="J15" s="14" t="str">
        <f>IF(AND(B15="Jsy",C15="EF"),"Attention!","")</f>
        <v/>
      </c>
      <c r="K15" s="7" t="str">
        <f>IF(OR(E15="No",F15="No",G15="No"),"Chase","")</f>
        <v>Chase</v>
      </c>
      <c r="L15" s="1" t="str">
        <f>IF(AND(C15="EF",D15="Moore"),"Review","")</f>
        <v/>
      </c>
      <c r="M15" s="1" t="str">
        <f>IF(OR(B15="Jsy",H15="&gt;10000"),"Priority","")</f>
        <v/>
      </c>
      <c r="N15" s="1" t="str">
        <f>IF(AND(E15="Yes",F15="Yes",G15="Yes"),"Completed","")</f>
        <v/>
      </c>
      <c r="O15" s="1" t="str">
        <f ca="1">IF(AND(B15="Jsy",I15&lt;=TODAY()),"Overdue","")</f>
        <v/>
      </c>
    </row>
    <row r="16" spans="1:15">
      <c r="A16" s="4" t="s">
        <v>109</v>
      </c>
      <c r="B16" s="1" t="s">
        <v>101</v>
      </c>
      <c r="C16" s="1" t="s">
        <v>114</v>
      </c>
      <c r="D16" s="1" t="s">
        <v>115</v>
      </c>
      <c r="E16" s="1" t="s">
        <v>105</v>
      </c>
      <c r="F16" s="1" t="s">
        <v>103</v>
      </c>
      <c r="G16" s="1" t="s">
        <v>105</v>
      </c>
      <c r="H16" s="5">
        <v>11195.5</v>
      </c>
      <c r="I16" s="6">
        <v>44656</v>
      </c>
      <c r="J16" s="14" t="str">
        <f>IF(AND(B16="Jsy",C16="EF"),"Attention!","")</f>
        <v/>
      </c>
      <c r="K16" s="7" t="str">
        <f>IF(OR(E16="No",F16="No",G16="No"),"Chase","")</f>
        <v>Chase</v>
      </c>
      <c r="L16" s="1" t="str">
        <f>IF(AND(C16="EF",D16="Moore"),"Review","")</f>
        <v/>
      </c>
      <c r="M16" s="1" t="str">
        <f>IF(OR(B16="Jsy",H16="&gt;10000"),"Priority","")</f>
        <v/>
      </c>
      <c r="N16" s="1" t="str">
        <f>IF(AND(E16="Yes",F16="Yes",G16="Yes"),"Completed","")</f>
        <v/>
      </c>
      <c r="O16" s="1" t="str">
        <f ca="1">IF(AND(B16="Jsy",I16&lt;=TODAY()),"Overdue","")</f>
        <v/>
      </c>
    </row>
    <row r="17" spans="1:15">
      <c r="A17" s="4" t="s">
        <v>100</v>
      </c>
      <c r="B17" s="1" t="s">
        <v>116</v>
      </c>
      <c r="C17" s="1" t="s">
        <v>114</v>
      </c>
      <c r="D17" s="1" t="s">
        <v>115</v>
      </c>
      <c r="E17" s="1" t="s">
        <v>103</v>
      </c>
      <c r="F17" s="1" t="s">
        <v>104</v>
      </c>
      <c r="G17" s="1" t="s">
        <v>105</v>
      </c>
      <c r="H17" s="5">
        <v>12384</v>
      </c>
      <c r="I17" s="6">
        <v>44265</v>
      </c>
      <c r="J17" s="14" t="str">
        <f>IF(AND(B17="Jsy",C17="EF"),"Attention!","")</f>
        <v/>
      </c>
      <c r="K17" s="7" t="str">
        <f>IF(OR(E17="No",F17="No",G17="No"),"Chase","")</f>
        <v>Chase</v>
      </c>
      <c r="L17" s="1" t="str">
        <f>IF(AND(C17="EF",D17="Moore"),"Review","")</f>
        <v/>
      </c>
      <c r="M17" s="1" t="str">
        <f>IF(OR(B17="Jsy",H17="&gt;10000"),"Priority","")</f>
        <v/>
      </c>
      <c r="N17" s="1" t="str">
        <f>IF(AND(E17="Yes",F17="Yes",G17="Yes"),"Completed","")</f>
        <v/>
      </c>
      <c r="O17" s="1" t="str">
        <f ca="1">IF(AND(B17="Jsy",I17&lt;=TODAY()),"Overdue","")</f>
        <v/>
      </c>
    </row>
    <row r="18" spans="1:15">
      <c r="A18" s="4" t="s">
        <v>109</v>
      </c>
      <c r="B18" s="1" t="s">
        <v>101</v>
      </c>
      <c r="C18" s="1" t="s">
        <v>114</v>
      </c>
      <c r="D18" s="1" t="s">
        <v>115</v>
      </c>
      <c r="E18" s="1" t="s">
        <v>105</v>
      </c>
      <c r="F18" s="1" t="s">
        <v>103</v>
      </c>
      <c r="G18" s="1" t="s">
        <v>105</v>
      </c>
      <c r="H18" s="5">
        <v>14069.5</v>
      </c>
      <c r="I18" s="6">
        <v>44736</v>
      </c>
      <c r="J18" s="14" t="str">
        <f>IF(AND(B18="Jsy",C18="EF"),"Attention!","")</f>
        <v/>
      </c>
      <c r="K18" s="7" t="str">
        <f>IF(OR(E18="No",F18="No",G18="No"),"Chase","")</f>
        <v>Chase</v>
      </c>
      <c r="L18" s="1" t="str">
        <f>IF(AND(C18="EF",D18="Moore"),"Review","")</f>
        <v/>
      </c>
      <c r="M18" s="1" t="str">
        <f>IF(OR(B18="Jsy",H18="&gt;10000"),"Priority","")</f>
        <v/>
      </c>
      <c r="N18" s="1" t="str">
        <f>IF(AND(E18="Yes",F18="Yes",G18="Yes"),"Completed","")</f>
        <v/>
      </c>
      <c r="O18" s="1" t="str">
        <f ca="1">IF(AND(B18="Jsy",I18&lt;=TODAY()),"Overdue","")</f>
        <v/>
      </c>
    </row>
    <row r="19" spans="1:15">
      <c r="A19" s="4" t="s">
        <v>109</v>
      </c>
      <c r="B19" s="1" t="s">
        <v>116</v>
      </c>
      <c r="C19" s="1" t="s">
        <v>114</v>
      </c>
      <c r="D19" s="1" t="s">
        <v>115</v>
      </c>
      <c r="E19" s="1" t="s">
        <v>105</v>
      </c>
      <c r="F19" s="1" t="s">
        <v>105</v>
      </c>
      <c r="G19" s="1" t="s">
        <v>105</v>
      </c>
      <c r="H19" s="5">
        <v>43730.53</v>
      </c>
      <c r="I19" s="6">
        <v>44719</v>
      </c>
      <c r="J19" s="14" t="str">
        <f>IF(AND(B19="Jsy",C19="EF"),"Attention!","")</f>
        <v/>
      </c>
      <c r="K19" s="7" t="str">
        <f>IF(OR(E19="No",F19="No",G19="No"),"Chase","")</f>
        <v>Chase</v>
      </c>
      <c r="L19" s="1" t="str">
        <f>IF(AND(C19="EF",D19="Moore"),"Review","")</f>
        <v/>
      </c>
      <c r="M19" s="1" t="str">
        <f>IF(OR(B19="Jsy",H19="&gt;10000"),"Priority","")</f>
        <v/>
      </c>
      <c r="N19" s="1" t="str">
        <f>IF(AND(E19="Yes",F19="Yes",G19="Yes"),"Completed","")</f>
        <v/>
      </c>
      <c r="O19" s="1" t="str">
        <f ca="1">IF(AND(B19="Jsy",I19&lt;=TODAY()),"Overdue","")</f>
        <v/>
      </c>
    </row>
    <row r="20" spans="1:15">
      <c r="A20" s="4" t="s">
        <v>109</v>
      </c>
      <c r="B20" s="1" t="s">
        <v>107</v>
      </c>
      <c r="C20" s="1" t="s">
        <v>114</v>
      </c>
      <c r="D20" s="1" t="s">
        <v>115</v>
      </c>
      <c r="E20" s="1" t="s">
        <v>105</v>
      </c>
      <c r="F20" s="1" t="s">
        <v>105</v>
      </c>
      <c r="G20" s="1" t="s">
        <v>105</v>
      </c>
      <c r="H20" s="5">
        <v>65382</v>
      </c>
      <c r="I20" s="6">
        <v>44707</v>
      </c>
      <c r="J20" s="14" t="str">
        <f>IF(AND(B20="Jsy",C20="EF"),"Attention!","")</f>
        <v>Attention!</v>
      </c>
      <c r="K20" s="7" t="str">
        <f>IF(OR(E20="No",F20="No",G20="No"),"Chase","")</f>
        <v>Chase</v>
      </c>
      <c r="L20" s="1" t="str">
        <f>IF(AND(C20="EF",D20="Moore"),"Review","")</f>
        <v/>
      </c>
      <c r="M20" s="1" t="str">
        <f>IF(OR(B20="Jsy",H20="&gt;10000"),"Priority","")</f>
        <v>Priority</v>
      </c>
      <c r="N20" s="1" t="str">
        <f>IF(AND(E20="Yes",F20="Yes",G20="Yes"),"Completed","")</f>
        <v/>
      </c>
      <c r="O20" s="1" t="str">
        <f ca="1">IF(AND(B20="Jsy",I20&lt;=TODAY()),"Overdue","")</f>
        <v>Overdue</v>
      </c>
    </row>
    <row r="21" spans="1:15">
      <c r="A21" s="4" t="s">
        <v>100</v>
      </c>
      <c r="B21" s="1" t="s">
        <v>101</v>
      </c>
      <c r="C21" s="1" t="s">
        <v>102</v>
      </c>
      <c r="D21" s="1" t="s">
        <v>117</v>
      </c>
      <c r="E21" s="1" t="s">
        <v>103</v>
      </c>
      <c r="F21" s="1" t="s">
        <v>104</v>
      </c>
      <c r="G21" s="1" t="s">
        <v>103</v>
      </c>
      <c r="H21" s="5">
        <v>9529.5</v>
      </c>
      <c r="I21" s="6">
        <v>44325</v>
      </c>
      <c r="J21" s="14" t="str">
        <f>IF(AND(B21="Jsy",C21="EF"),"Attention!","")</f>
        <v/>
      </c>
      <c r="K21" s="7" t="str">
        <f>IF(OR(E21="No",F21="No",G21="No"),"Chase","")</f>
        <v/>
      </c>
      <c r="L21" s="1" t="str">
        <f>IF(AND(C21="EF",D21="Moore"),"Review","")</f>
        <v/>
      </c>
      <c r="M21" s="1" t="str">
        <f>IF(OR(B21="Jsy",H21="&gt;10000"),"Priority","")</f>
        <v/>
      </c>
      <c r="N21" s="1" t="str">
        <f>IF(AND(E21="Yes",F21="Yes",G21="Yes"),"Completed","")</f>
        <v>Completed</v>
      </c>
      <c r="O21" s="1" t="str">
        <f ca="1">IF(AND(B21="Jsy",I21&lt;=TODAY()),"Overdue","")</f>
        <v/>
      </c>
    </row>
    <row r="22" spans="1:15">
      <c r="A22" s="4" t="s">
        <v>109</v>
      </c>
      <c r="B22" s="1" t="s">
        <v>116</v>
      </c>
      <c r="C22" s="1" t="s">
        <v>102</v>
      </c>
      <c r="D22" s="1" t="s">
        <v>117</v>
      </c>
      <c r="E22" s="1" t="s">
        <v>105</v>
      </c>
      <c r="F22" s="1" t="s">
        <v>105</v>
      </c>
      <c r="G22" s="1" t="s">
        <v>105</v>
      </c>
      <c r="H22" s="5">
        <v>10700</v>
      </c>
      <c r="I22" s="6">
        <v>44660</v>
      </c>
      <c r="J22" s="14" t="str">
        <f>IF(AND(B22="Jsy",C22="EF"),"Attention!","")</f>
        <v/>
      </c>
      <c r="K22" s="7" t="str">
        <f>IF(OR(E22="No",F22="No",G22="No"),"Chase","")</f>
        <v>Chase</v>
      </c>
      <c r="L22" s="1" t="str">
        <f>IF(AND(C22="EF",D22="Moore"),"Review","")</f>
        <v/>
      </c>
      <c r="M22" s="1" t="str">
        <f>IF(OR(B22="Jsy",H22="&gt;10000"),"Priority","")</f>
        <v/>
      </c>
      <c r="N22" s="1" t="str">
        <f>IF(AND(E22="Yes",F22="Yes",G22="Yes"),"Completed","")</f>
        <v/>
      </c>
      <c r="O22" s="1" t="str">
        <f ca="1">IF(AND(B22="Jsy",I22&lt;=TODAY()),"Overdue","")</f>
        <v/>
      </c>
    </row>
    <row r="23" spans="1:15">
      <c r="A23" s="4" t="s">
        <v>100</v>
      </c>
      <c r="B23" s="1" t="s">
        <v>101</v>
      </c>
      <c r="C23" s="1" t="s">
        <v>108</v>
      </c>
      <c r="D23" s="1" t="s">
        <v>117</v>
      </c>
      <c r="E23" s="1" t="s">
        <v>103</v>
      </c>
      <c r="F23" s="1" t="s">
        <v>104</v>
      </c>
      <c r="G23" s="1" t="s">
        <v>103</v>
      </c>
      <c r="H23" s="5">
        <v>11299</v>
      </c>
      <c r="I23" s="6">
        <v>44367</v>
      </c>
      <c r="J23" s="14" t="str">
        <f>IF(AND(B23="Jsy",C23="EF"),"Attention!","")</f>
        <v/>
      </c>
      <c r="K23" s="7" t="str">
        <f>IF(OR(E23="No",F23="No",G23="No"),"Chase","")</f>
        <v/>
      </c>
      <c r="L23" s="1" t="str">
        <f>IF(AND(C23="EF",D23="Moore"),"Review","")</f>
        <v/>
      </c>
      <c r="M23" s="1" t="str">
        <f>IF(OR(B23="Jsy",H23="&gt;10000"),"Priority","")</f>
        <v/>
      </c>
      <c r="N23" s="1" t="str">
        <f>IF(AND(E23="Yes",F23="Yes",G23="Yes"),"Completed","")</f>
        <v>Completed</v>
      </c>
      <c r="O23" s="1" t="str">
        <f ca="1">IF(AND(B23="Jsy",I23&lt;=TODAY()),"Overdue","")</f>
        <v/>
      </c>
    </row>
    <row r="24" spans="1:15">
      <c r="A24" s="4" t="s">
        <v>109</v>
      </c>
      <c r="B24" s="1" t="s">
        <v>107</v>
      </c>
      <c r="C24" s="1" t="s">
        <v>108</v>
      </c>
      <c r="D24" s="1" t="s">
        <v>117</v>
      </c>
      <c r="E24" s="1" t="s">
        <v>105</v>
      </c>
      <c r="F24" s="1" t="s">
        <v>105</v>
      </c>
      <c r="G24" s="1" t="s">
        <v>105</v>
      </c>
      <c r="H24" s="5">
        <v>11400</v>
      </c>
      <c r="I24" s="6">
        <v>44647</v>
      </c>
      <c r="J24" s="14" t="str">
        <f>IF(AND(B24="Jsy",C24="EF"),"Attention!","")</f>
        <v/>
      </c>
      <c r="K24" s="7" t="str">
        <f>IF(OR(E24="No",F24="No",G24="No"),"Chase","")</f>
        <v>Chase</v>
      </c>
      <c r="L24" s="1" t="str">
        <f>IF(AND(C24="EF",D24="Moore"),"Review","")</f>
        <v/>
      </c>
      <c r="M24" s="1" t="str">
        <f>IF(OR(B24="Jsy",H24="&gt;10000"),"Priority","")</f>
        <v>Priority</v>
      </c>
      <c r="N24" s="1" t="str">
        <f>IF(AND(E24="Yes",F24="Yes",G24="Yes"),"Completed","")</f>
        <v/>
      </c>
      <c r="O24" s="1" t="str">
        <f ca="1">IF(AND(B24="Jsy",I24&lt;=TODAY()),"Overdue","")</f>
        <v>Overdue</v>
      </c>
    </row>
    <row r="25" spans="1:15">
      <c r="A25" s="4" t="s">
        <v>109</v>
      </c>
      <c r="B25" s="1" t="s">
        <v>101</v>
      </c>
      <c r="C25" s="1" t="s">
        <v>102</v>
      </c>
      <c r="D25" s="1" t="s">
        <v>117</v>
      </c>
      <c r="E25" s="1" t="s">
        <v>105</v>
      </c>
      <c r="F25" s="1" t="s">
        <v>103</v>
      </c>
      <c r="G25" s="1" t="s">
        <v>105</v>
      </c>
      <c r="H25" s="5">
        <v>11500</v>
      </c>
      <c r="I25" s="6">
        <v>44689</v>
      </c>
      <c r="J25" s="14" t="str">
        <f>IF(AND(B25="Jsy",C25="EF"),"Attention!","")</f>
        <v/>
      </c>
      <c r="K25" s="7" t="str">
        <f>IF(OR(E25="No",F25="No",G25="No"),"Chase","")</f>
        <v>Chase</v>
      </c>
      <c r="L25" s="1" t="str">
        <f>IF(AND(C25="EF",D25="Moore"),"Review","")</f>
        <v/>
      </c>
      <c r="M25" s="1" t="str">
        <f>IF(OR(B25="Jsy",H25="&gt;10000"),"Priority","")</f>
        <v/>
      </c>
      <c r="N25" s="1" t="str">
        <f>IF(AND(E25="Yes",F25="Yes",G25="Yes"),"Completed","")</f>
        <v/>
      </c>
      <c r="O25" s="1" t="str">
        <f ca="1">IF(AND(B25="Jsy",I25&lt;=TODAY()),"Overdue","")</f>
        <v/>
      </c>
    </row>
    <row r="26" spans="1:15">
      <c r="A26" s="4" t="s">
        <v>109</v>
      </c>
      <c r="B26" s="1" t="s">
        <v>107</v>
      </c>
      <c r="C26" s="1" t="s">
        <v>108</v>
      </c>
      <c r="D26" s="1" t="s">
        <v>117</v>
      </c>
      <c r="E26" s="1" t="s">
        <v>105</v>
      </c>
      <c r="F26" s="1" t="s">
        <v>105</v>
      </c>
      <c r="G26" s="1" t="s">
        <v>105</v>
      </c>
      <c r="H26" s="5">
        <v>11792</v>
      </c>
      <c r="I26" s="6">
        <f ca="1">TODAY()+29</f>
        <v>45399</v>
      </c>
      <c r="J26" s="14" t="str">
        <f>IF(AND(B26="Jsy",C26="EF"),"Attention!","")</f>
        <v/>
      </c>
      <c r="K26" s="7" t="str">
        <f>IF(OR(E26="No",F26="No",G26="No"),"Chase","")</f>
        <v>Chase</v>
      </c>
      <c r="L26" s="1" t="str">
        <f>IF(AND(C26="EF",D26="Moore"),"Review","")</f>
        <v/>
      </c>
      <c r="M26" s="1" t="str">
        <f>IF(OR(B26="Jsy",H26="&gt;10000"),"Priority","")</f>
        <v>Priority</v>
      </c>
      <c r="N26" s="1" t="str">
        <f>IF(AND(E26="Yes",F26="Yes",G26="Yes"),"Completed","")</f>
        <v/>
      </c>
      <c r="O26" s="1" t="str">
        <f ca="1">IF(AND(B26="Jsy",I26&lt;=TODAY()),"Overdue","")</f>
        <v/>
      </c>
    </row>
    <row r="27" spans="1:15">
      <c r="A27" s="4" t="s">
        <v>109</v>
      </c>
      <c r="B27" s="1" t="s">
        <v>101</v>
      </c>
      <c r="C27" s="1" t="s">
        <v>108</v>
      </c>
      <c r="D27" s="1" t="s">
        <v>117</v>
      </c>
      <c r="E27" s="1" t="s">
        <v>105</v>
      </c>
      <c r="F27" s="1" t="s">
        <v>105</v>
      </c>
      <c r="G27" s="1" t="s">
        <v>105</v>
      </c>
      <c r="H27" s="5">
        <v>49833</v>
      </c>
      <c r="I27" s="6">
        <v>44699</v>
      </c>
      <c r="J27" s="14" t="str">
        <f>IF(AND(B27="Jsy",C27="EF"),"Attention!","")</f>
        <v/>
      </c>
      <c r="K27" s="7" t="str">
        <f>IF(OR(E27="No",F27="No",G27="No"),"Chase","")</f>
        <v>Chase</v>
      </c>
      <c r="L27" s="1" t="str">
        <f>IF(AND(C27="EF",D27="Moore"),"Review","")</f>
        <v/>
      </c>
      <c r="M27" s="1" t="str">
        <f>IF(OR(B27="Jsy",H27="&gt;10000"),"Priority","")</f>
        <v/>
      </c>
      <c r="N27" s="1" t="str">
        <f>IF(AND(E27="Yes",F27="Yes",G27="Yes"),"Completed","")</f>
        <v/>
      </c>
      <c r="O27" s="1" t="str">
        <f ca="1">IF(AND(B27="Jsy",I27&lt;=TODAY()),"Overdue","")</f>
        <v/>
      </c>
    </row>
    <row r="28" spans="1:15">
      <c r="A28" s="4" t="s">
        <v>109</v>
      </c>
      <c r="B28" s="1" t="s">
        <v>101</v>
      </c>
      <c r="C28" s="1" t="s">
        <v>108</v>
      </c>
      <c r="D28" s="1" t="s">
        <v>118</v>
      </c>
      <c r="E28" s="1" t="s">
        <v>105</v>
      </c>
      <c r="F28" s="1" t="s">
        <v>105</v>
      </c>
      <c r="G28" s="1" t="s">
        <v>105</v>
      </c>
      <c r="H28" s="5">
        <v>12283.5</v>
      </c>
      <c r="I28" s="6">
        <v>44662</v>
      </c>
      <c r="J28" s="14" t="str">
        <f>IF(AND(B28="Jsy",C28="EF"),"Attention!","")</f>
        <v/>
      </c>
      <c r="K28" s="7" t="str">
        <f>IF(OR(E28="No",F28="No",G28="No"),"Chase","")</f>
        <v>Chase</v>
      </c>
      <c r="L28" s="1" t="str">
        <f>IF(AND(C28="EF",D28="Moore"),"Review","")</f>
        <v/>
      </c>
      <c r="M28" s="1" t="str">
        <f>IF(OR(B28="Jsy",H28="&gt;10000"),"Priority","")</f>
        <v/>
      </c>
      <c r="N28" s="1" t="str">
        <f>IF(AND(E28="Yes",F28="Yes",G28="Yes"),"Completed","")</f>
        <v/>
      </c>
      <c r="O28" s="1" t="str">
        <f ca="1">IF(AND(B28="Jsy",I28&lt;=TODAY()),"Overdue","")</f>
        <v/>
      </c>
    </row>
    <row r="29" spans="1:15">
      <c r="A29" s="4" t="s">
        <v>100</v>
      </c>
      <c r="B29" s="1" t="s">
        <v>101</v>
      </c>
      <c r="C29" s="1" t="s">
        <v>112</v>
      </c>
      <c r="D29" s="1" t="s">
        <v>118</v>
      </c>
      <c r="E29" s="1" t="s">
        <v>103</v>
      </c>
      <c r="F29" s="1" t="s">
        <v>104</v>
      </c>
      <c r="G29" s="1" t="s">
        <v>103</v>
      </c>
      <c r="H29" s="5">
        <v>12321.22</v>
      </c>
      <c r="I29" s="6">
        <v>44311</v>
      </c>
      <c r="J29" s="14" t="str">
        <f>IF(AND(B29="Jsy",C29="EF"),"Attention!","")</f>
        <v/>
      </c>
      <c r="K29" s="7" t="str">
        <f>IF(OR(E29="No",F29="No",G29="No"),"Chase","")</f>
        <v/>
      </c>
      <c r="L29" s="1" t="str">
        <f>IF(AND(C29="EF",D29="Moore"),"Review","")</f>
        <v/>
      </c>
      <c r="M29" s="1" t="str">
        <f>IF(OR(B29="Jsy",H29="&gt;10000"),"Priority","")</f>
        <v/>
      </c>
      <c r="N29" s="1" t="str">
        <f>IF(AND(E29="Yes",F29="Yes",G29="Yes"),"Completed","")</f>
        <v>Completed</v>
      </c>
      <c r="O29" s="1" t="str">
        <f ca="1">IF(AND(B29="Jsy",I29&lt;=TODAY()),"Overdue","")</f>
        <v/>
      </c>
    </row>
    <row r="30" spans="1:15">
      <c r="A30" s="4" t="s">
        <v>106</v>
      </c>
      <c r="B30" s="1" t="s">
        <v>101</v>
      </c>
      <c r="C30" s="1" t="s">
        <v>108</v>
      </c>
      <c r="D30" s="1" t="s">
        <v>118</v>
      </c>
      <c r="E30" s="1" t="s">
        <v>103</v>
      </c>
      <c r="F30" s="1" t="s">
        <v>104</v>
      </c>
      <c r="G30" s="1" t="s">
        <v>105</v>
      </c>
      <c r="H30" s="5">
        <v>13350</v>
      </c>
      <c r="I30" s="6">
        <v>44325</v>
      </c>
      <c r="J30" s="14" t="str">
        <f>IF(AND(B30="Jsy",C30="EF"),"Attention!","")</f>
        <v/>
      </c>
      <c r="K30" s="7" t="str">
        <f>IF(OR(E30="No",F30="No",G30="No"),"Chase","")</f>
        <v>Chase</v>
      </c>
      <c r="L30" s="1" t="str">
        <f>IF(AND(C30="EF",D30="Moore"),"Review","")</f>
        <v/>
      </c>
      <c r="M30" s="1" t="str">
        <f>IF(OR(B30="Jsy",H30="&gt;10000"),"Priority","")</f>
        <v/>
      </c>
      <c r="N30" s="1" t="str">
        <f>IF(AND(E30="Yes",F30="Yes",G30="Yes"),"Completed","")</f>
        <v/>
      </c>
      <c r="O30" s="1" t="str">
        <f ca="1">IF(AND(B30="Jsy",I30&lt;=TODAY()),"Overdue","")</f>
        <v/>
      </c>
    </row>
    <row r="31" spans="1:15">
      <c r="A31" s="4" t="s">
        <v>109</v>
      </c>
      <c r="B31" s="1" t="s">
        <v>101</v>
      </c>
      <c r="C31" s="1" t="s">
        <v>108</v>
      </c>
      <c r="D31" s="1" t="s">
        <v>118</v>
      </c>
      <c r="E31" s="1" t="s">
        <v>105</v>
      </c>
      <c r="F31" s="1" t="s">
        <v>105</v>
      </c>
      <c r="G31" s="1" t="s">
        <v>105</v>
      </c>
      <c r="H31" s="5">
        <v>13983</v>
      </c>
      <c r="I31" s="6">
        <v>44672</v>
      </c>
      <c r="J31" s="14" t="str">
        <f>IF(AND(B31="Jsy",C31="EF"),"Attention!","")</f>
        <v/>
      </c>
      <c r="K31" s="7" t="str">
        <f>IF(OR(E31="No",F31="No",G31="No"),"Chase","")</f>
        <v>Chase</v>
      </c>
      <c r="L31" s="1" t="str">
        <f>IF(AND(C31="EF",D31="Moore"),"Review","")</f>
        <v/>
      </c>
      <c r="M31" s="1" t="str">
        <f>IF(OR(B31="Jsy",H31="&gt;10000"),"Priority","")</f>
        <v/>
      </c>
      <c r="N31" s="1" t="str">
        <f>IF(AND(E31="Yes",F31="Yes",G31="Yes"),"Completed","")</f>
        <v/>
      </c>
      <c r="O31" s="1" t="str">
        <f ca="1">IF(AND(B31="Jsy",I31&lt;=TODAY()),"Overdue","")</f>
        <v/>
      </c>
    </row>
    <row r="32" spans="1:15">
      <c r="A32" s="4" t="s">
        <v>100</v>
      </c>
      <c r="B32" s="1" t="s">
        <v>107</v>
      </c>
      <c r="C32" s="1" t="s">
        <v>112</v>
      </c>
      <c r="D32" s="1" t="s">
        <v>118</v>
      </c>
      <c r="E32" s="1" t="s">
        <v>103</v>
      </c>
      <c r="F32" s="1" t="s">
        <v>104</v>
      </c>
      <c r="G32" s="1" t="s">
        <v>103</v>
      </c>
      <c r="H32" s="5">
        <v>18308</v>
      </c>
      <c r="I32" s="6">
        <f ca="1">TODAY()+5</f>
        <v>45375</v>
      </c>
      <c r="J32" s="14" t="str">
        <f>IF(AND(B32="Jsy",C32="EF"),"Attention!","")</f>
        <v/>
      </c>
      <c r="K32" s="7" t="str">
        <f>IF(OR(E32="No",F32="No",G32="No"),"Chase","")</f>
        <v/>
      </c>
      <c r="L32" s="1" t="str">
        <f>IF(AND(C32="EF",D32="Moore"),"Review","")</f>
        <v/>
      </c>
      <c r="M32" s="1" t="str">
        <f>IF(OR(B32="Jsy",H32="&gt;10000"),"Priority","")</f>
        <v>Priority</v>
      </c>
      <c r="N32" s="1" t="str">
        <f>IF(AND(E32="Yes",F32="Yes",G32="Yes"),"Completed","")</f>
        <v>Completed</v>
      </c>
      <c r="O32" s="1" t="str">
        <f ca="1">IF(AND(B32="Jsy",I32&lt;=TODAY()),"Overdue","")</f>
        <v/>
      </c>
    </row>
    <row r="33" spans="1:15">
      <c r="A33" s="4" t="s">
        <v>109</v>
      </c>
      <c r="B33" s="1" t="s">
        <v>116</v>
      </c>
      <c r="C33" s="1" t="s">
        <v>102</v>
      </c>
      <c r="D33" s="1" t="s">
        <v>118</v>
      </c>
      <c r="E33" s="1" t="s">
        <v>105</v>
      </c>
      <c r="F33" s="1" t="s">
        <v>103</v>
      </c>
      <c r="G33" s="1" t="s">
        <v>105</v>
      </c>
      <c r="H33" s="5">
        <v>25492.5</v>
      </c>
      <c r="I33" s="6">
        <v>44688</v>
      </c>
      <c r="J33" s="14" t="str">
        <f>IF(AND(B33="Jsy",C33="EF"),"Attention!","")</f>
        <v/>
      </c>
      <c r="K33" s="7" t="str">
        <f>IF(OR(E33="No",F33="No",G33="No"),"Chase","")</f>
        <v>Chase</v>
      </c>
      <c r="L33" s="1" t="str">
        <f>IF(AND(C33="EF",D33="Moore"),"Review","")</f>
        <v/>
      </c>
      <c r="M33" s="1" t="str">
        <f>IF(OR(B33="Jsy",H33="&gt;10000"),"Priority","")</f>
        <v/>
      </c>
      <c r="N33" s="1" t="str">
        <f>IF(AND(E33="Yes",F33="Yes",G33="Yes"),"Completed","")</f>
        <v/>
      </c>
      <c r="O33" s="1" t="str">
        <f ca="1">IF(AND(B33="Jsy",I33&lt;=TODAY()),"Overdue","")</f>
        <v/>
      </c>
    </row>
    <row r="34" spans="1:15">
      <c r="A34" s="4" t="s">
        <v>109</v>
      </c>
      <c r="B34" s="1" t="s">
        <v>101</v>
      </c>
      <c r="C34" s="1" t="s">
        <v>108</v>
      </c>
      <c r="D34" s="1" t="s">
        <v>118</v>
      </c>
      <c r="E34" s="1" t="s">
        <v>105</v>
      </c>
      <c r="F34" s="1" t="s">
        <v>105</v>
      </c>
      <c r="G34" s="1" t="s">
        <v>105</v>
      </c>
      <c r="H34" s="5">
        <v>49691</v>
      </c>
      <c r="I34" s="6">
        <v>44668</v>
      </c>
      <c r="J34" s="14" t="str">
        <f>IF(AND(B34="Jsy",C34="EF"),"Attention!","")</f>
        <v/>
      </c>
      <c r="K34" s="7" t="str">
        <f>IF(OR(E34="No",F34="No",G34="No"),"Chase","")</f>
        <v>Chase</v>
      </c>
      <c r="L34" s="1" t="str">
        <f>IF(AND(C34="EF",D34="Moore"),"Review","")</f>
        <v/>
      </c>
      <c r="M34" s="1" t="str">
        <f>IF(OR(B34="Jsy",H34="&gt;10000"),"Priority","")</f>
        <v/>
      </c>
      <c r="N34" s="1" t="str">
        <f>IF(AND(E34="Yes",F34="Yes",G34="Yes"),"Completed","")</f>
        <v/>
      </c>
      <c r="O34" s="1" t="str">
        <f ca="1">IF(AND(B34="Jsy",I34&lt;=TODAY()),"Overdue","")</f>
        <v/>
      </c>
    </row>
    <row r="35" spans="1:15">
      <c r="A35" s="4" t="s">
        <v>109</v>
      </c>
      <c r="B35" s="1" t="s">
        <v>111</v>
      </c>
      <c r="C35" s="1" t="s">
        <v>108</v>
      </c>
      <c r="D35" s="1" t="s">
        <v>118</v>
      </c>
      <c r="E35" s="1" t="s">
        <v>105</v>
      </c>
      <c r="F35" s="1" t="s">
        <v>103</v>
      </c>
      <c r="G35" s="1" t="s">
        <v>105</v>
      </c>
      <c r="H35" s="5">
        <v>49980.5</v>
      </c>
      <c r="I35" s="6">
        <v>44667</v>
      </c>
      <c r="J35" s="14" t="str">
        <f>IF(AND(B35="Jsy",C35="EF"),"Attention!","")</f>
        <v/>
      </c>
      <c r="K35" s="7" t="str">
        <f>IF(OR(E35="No",F35="No",G35="No"),"Chase","")</f>
        <v>Chase</v>
      </c>
      <c r="L35" s="1" t="str">
        <f>IF(AND(C35="EF",D35="Moore"),"Review","")</f>
        <v/>
      </c>
      <c r="M35" s="1" t="str">
        <f>IF(OR(B35="Jsy",H35="&gt;10000"),"Priority","")</f>
        <v/>
      </c>
      <c r="N35" s="1" t="str">
        <f>IF(AND(E35="Yes",F35="Yes",G35="Yes"),"Completed","")</f>
        <v/>
      </c>
      <c r="O35" s="1" t="str">
        <f ca="1">IF(AND(B35="Jsy",I35&lt;=TODAY()),"Overdue","")</f>
        <v/>
      </c>
    </row>
    <row r="36" spans="1:15">
      <c r="A36" s="4" t="s">
        <v>106</v>
      </c>
      <c r="B36" s="1" t="s">
        <v>119</v>
      </c>
      <c r="C36" s="1" t="s">
        <v>120</v>
      </c>
      <c r="D36" s="1" t="s">
        <v>121</v>
      </c>
      <c r="E36" s="1" t="s">
        <v>103</v>
      </c>
      <c r="F36" s="1" t="s">
        <v>104</v>
      </c>
      <c r="G36" s="1" t="s">
        <v>105</v>
      </c>
      <c r="H36" s="5">
        <v>10350</v>
      </c>
      <c r="I36" s="6">
        <f ca="1">TODAY()+55</f>
        <v>45425</v>
      </c>
      <c r="J36" s="14" t="str">
        <f>IF(AND(B36="Jsy",C36="EF"),"Attention!","")</f>
        <v/>
      </c>
      <c r="K36" s="7" t="str">
        <f>IF(OR(E36="No",F36="No",G36="No"),"Chase","")</f>
        <v>Chase</v>
      </c>
      <c r="L36" s="1" t="str">
        <f>IF(AND(C36="EF",D36="Moore"),"Review","")</f>
        <v/>
      </c>
      <c r="M36" s="1" t="str">
        <f>IF(OR(B36="Jsy",H36="&gt;10000"),"Priority","")</f>
        <v/>
      </c>
      <c r="N36" s="1" t="str">
        <f>IF(AND(E36="Yes",F36="Yes",G36="Yes"),"Completed","")</f>
        <v/>
      </c>
      <c r="O36" s="1" t="str">
        <f ca="1">IF(AND(B36="Jsy",I36&lt;=TODAY()),"Overdue","")</f>
        <v/>
      </c>
    </row>
    <row r="37" spans="1:15">
      <c r="A37" s="4" t="s">
        <v>106</v>
      </c>
      <c r="B37" s="1" t="s">
        <v>119</v>
      </c>
      <c r="C37" s="1" t="s">
        <v>120</v>
      </c>
      <c r="D37" s="1" t="s">
        <v>121</v>
      </c>
      <c r="E37" s="1" t="s">
        <v>103</v>
      </c>
      <c r="F37" s="1" t="s">
        <v>104</v>
      </c>
      <c r="G37" s="1" t="s">
        <v>105</v>
      </c>
      <c r="H37" s="5">
        <v>10350</v>
      </c>
      <c r="I37" s="6">
        <v>44291</v>
      </c>
      <c r="J37" s="14" t="str">
        <f>IF(AND(B37="Jsy",C37="EF"),"Attention!","")</f>
        <v/>
      </c>
      <c r="K37" s="7" t="str">
        <f>IF(OR(E37="No",F37="No",G37="No"),"Chase","")</f>
        <v>Chase</v>
      </c>
      <c r="L37" s="1" t="str">
        <f>IF(AND(C37="EF",D37="Moore"),"Review","")</f>
        <v/>
      </c>
      <c r="M37" s="1" t="str">
        <f>IF(OR(B37="Jsy",H37="&gt;10000"),"Priority","")</f>
        <v/>
      </c>
      <c r="N37" s="1" t="str">
        <f>IF(AND(E37="Yes",F37="Yes",G37="Yes"),"Completed","")</f>
        <v/>
      </c>
      <c r="O37" s="1" t="str">
        <f ca="1">IF(AND(B37="Jsy",I37&lt;=TODAY()),"Overdue","")</f>
        <v/>
      </c>
    </row>
    <row r="38" spans="1:15">
      <c r="A38" s="4" t="s">
        <v>109</v>
      </c>
      <c r="B38" s="1" t="s">
        <v>119</v>
      </c>
      <c r="C38" s="1" t="s">
        <v>120</v>
      </c>
      <c r="D38" s="1" t="s">
        <v>121</v>
      </c>
      <c r="E38" s="1" t="s">
        <v>103</v>
      </c>
      <c r="F38" s="1" t="s">
        <v>104</v>
      </c>
      <c r="G38" s="1" t="s">
        <v>105</v>
      </c>
      <c r="H38" s="5">
        <v>12144.5</v>
      </c>
      <c r="I38" s="6">
        <v>44337</v>
      </c>
      <c r="J38" s="14" t="str">
        <f>IF(AND(B38="Jsy",C38="EF"),"Attention!","")</f>
        <v/>
      </c>
      <c r="K38" s="7" t="str">
        <f>IF(OR(E38="No",F38="No",G38="No"),"Chase","")</f>
        <v>Chase</v>
      </c>
      <c r="L38" s="1" t="str">
        <f>IF(AND(C38="EF",D38="Moore"),"Review","")</f>
        <v/>
      </c>
      <c r="M38" s="1" t="str">
        <f>IF(OR(B38="Jsy",H38="&gt;10000"),"Priority","")</f>
        <v/>
      </c>
      <c r="N38" s="1" t="str">
        <f>IF(AND(E38="Yes",F38="Yes",G38="Yes"),"Completed","")</f>
        <v/>
      </c>
      <c r="O38" s="1" t="str">
        <f ca="1">IF(AND(B38="Jsy",I38&lt;=TODAY()),"Overdue","")</f>
        <v/>
      </c>
    </row>
    <row r="39" spans="1:15">
      <c r="A39" s="4" t="s">
        <v>109</v>
      </c>
      <c r="B39" s="1" t="s">
        <v>119</v>
      </c>
      <c r="C39" s="1" t="s">
        <v>120</v>
      </c>
      <c r="D39" s="1" t="s">
        <v>121</v>
      </c>
      <c r="E39" s="1" t="s">
        <v>103</v>
      </c>
      <c r="F39" s="1" t="s">
        <v>105</v>
      </c>
      <c r="G39" s="1" t="s">
        <v>105</v>
      </c>
      <c r="H39" s="5">
        <v>13426.5</v>
      </c>
      <c r="I39" s="6">
        <v>44359</v>
      </c>
      <c r="J39" s="14" t="str">
        <f>IF(AND(B39="Jsy",C39="EF"),"Attention!","")</f>
        <v/>
      </c>
      <c r="K39" s="7" t="str">
        <f>IF(OR(E39="No",F39="No",G39="No"),"Chase","")</f>
        <v>Chase</v>
      </c>
      <c r="L39" s="1" t="str">
        <f>IF(AND(C39="EF",D39="Moore"),"Review","")</f>
        <v/>
      </c>
      <c r="M39" s="1" t="str">
        <f>IF(OR(B39="Jsy",H39="&gt;10000"),"Priority","")</f>
        <v/>
      </c>
      <c r="N39" s="1" t="str">
        <f>IF(AND(E39="Yes",F39="Yes",G39="Yes"),"Completed","")</f>
        <v/>
      </c>
      <c r="O39" s="1" t="str">
        <f ca="1">IF(AND(B39="Jsy",I39&lt;=TODAY()),"Overdue","")</f>
        <v/>
      </c>
    </row>
    <row r="40" spans="1:15">
      <c r="A40" s="4" t="s">
        <v>109</v>
      </c>
      <c r="B40" s="1" t="s">
        <v>119</v>
      </c>
      <c r="C40" s="1" t="s">
        <v>120</v>
      </c>
      <c r="D40" s="1" t="s">
        <v>121</v>
      </c>
      <c r="E40" s="1" t="s">
        <v>103</v>
      </c>
      <c r="F40" s="1" t="s">
        <v>105</v>
      </c>
      <c r="G40" s="1" t="s">
        <v>105</v>
      </c>
      <c r="H40" s="5">
        <v>13972</v>
      </c>
      <c r="I40" s="6">
        <v>44288</v>
      </c>
      <c r="J40" s="14" t="str">
        <f>IF(AND(B40="Jsy",C40="EF"),"Attention!","")</f>
        <v/>
      </c>
      <c r="K40" s="7" t="str">
        <f>IF(OR(E40="No",F40="No",G40="No"),"Chase","")</f>
        <v>Chase</v>
      </c>
      <c r="L40" s="1" t="str">
        <f>IF(AND(C40="EF",D40="Moore"),"Review","")</f>
        <v/>
      </c>
      <c r="M40" s="1" t="str">
        <f>IF(OR(B40="Jsy",H40="&gt;10000"),"Priority","")</f>
        <v/>
      </c>
      <c r="N40" s="1" t="str">
        <f>IF(AND(E40="Yes",F40="Yes",G40="Yes"),"Completed","")</f>
        <v/>
      </c>
      <c r="O40" s="1" t="str">
        <f ca="1">IF(AND(B40="Jsy",I40&lt;=TODAY()),"Overdue","")</f>
        <v/>
      </c>
    </row>
    <row r="41" spans="1:15">
      <c r="A41" s="4" t="s">
        <v>109</v>
      </c>
      <c r="B41" s="1" t="s">
        <v>107</v>
      </c>
      <c r="C41" s="1" t="s">
        <v>112</v>
      </c>
      <c r="D41" s="1" t="s">
        <v>122</v>
      </c>
      <c r="E41" s="1" t="s">
        <v>103</v>
      </c>
      <c r="F41" s="1" t="s">
        <v>105</v>
      </c>
      <c r="G41" s="1" t="s">
        <v>105</v>
      </c>
      <c r="H41" s="5">
        <v>8516.2800000000007</v>
      </c>
      <c r="I41" s="6">
        <v>44651</v>
      </c>
      <c r="J41" s="14" t="str">
        <f>IF(AND(B41="Jsy",C41="EF"),"Attention!","")</f>
        <v/>
      </c>
      <c r="K41" s="7" t="str">
        <f>IF(OR(E41="No",F41="No",G41="No"),"Chase","")</f>
        <v>Chase</v>
      </c>
      <c r="L41" s="1" t="str">
        <f>IF(AND(C41="EF",D41="Moore"),"Review","")</f>
        <v/>
      </c>
      <c r="M41" s="1" t="str">
        <f>IF(OR(B41="Jsy",H41="&gt;10000"),"Priority","")</f>
        <v>Priority</v>
      </c>
      <c r="N41" s="1" t="str">
        <f>IF(AND(E41="Yes",F41="Yes",G41="Yes"),"Completed","")</f>
        <v/>
      </c>
      <c r="O41" s="1" t="str">
        <f ca="1">IF(AND(B41="Jsy",I41&lt;=TODAY()),"Overdue","")</f>
        <v>Overdue</v>
      </c>
    </row>
    <row r="42" spans="1:15">
      <c r="A42" s="4" t="s">
        <v>109</v>
      </c>
      <c r="B42" s="1" t="s">
        <v>107</v>
      </c>
      <c r="C42" s="1" t="s">
        <v>112</v>
      </c>
      <c r="D42" s="1" t="s">
        <v>122</v>
      </c>
      <c r="E42" s="1" t="s">
        <v>105</v>
      </c>
      <c r="F42" s="1" t="s">
        <v>105</v>
      </c>
      <c r="G42" s="1" t="s">
        <v>105</v>
      </c>
      <c r="H42" s="5">
        <v>9887</v>
      </c>
      <c r="I42" s="6">
        <v>44736</v>
      </c>
      <c r="J42" s="14" t="str">
        <f>IF(AND(B42="Jsy",C42="EF"),"Attention!","")</f>
        <v/>
      </c>
      <c r="K42" s="7" t="str">
        <f>IF(OR(E42="No",F42="No",G42="No"),"Chase","")</f>
        <v>Chase</v>
      </c>
      <c r="L42" s="1" t="str">
        <f>IF(AND(C42="EF",D42="Moore"),"Review","")</f>
        <v/>
      </c>
      <c r="M42" s="1" t="str">
        <f>IF(OR(B42="Jsy",H42="&gt;10000"),"Priority","")</f>
        <v>Priority</v>
      </c>
      <c r="N42" s="1" t="str">
        <f>IF(AND(E42="Yes",F42="Yes",G42="Yes"),"Completed","")</f>
        <v/>
      </c>
      <c r="O42" s="1" t="str">
        <f ca="1">IF(AND(B42="Jsy",I42&lt;=TODAY()),"Overdue","")</f>
        <v>Overdue</v>
      </c>
    </row>
    <row r="43" spans="1:15">
      <c r="A43" s="4" t="s">
        <v>106</v>
      </c>
      <c r="B43" s="1" t="s">
        <v>107</v>
      </c>
      <c r="C43" s="1" t="s">
        <v>112</v>
      </c>
      <c r="D43" s="1" t="s">
        <v>122</v>
      </c>
      <c r="E43" s="1" t="s">
        <v>103</v>
      </c>
      <c r="F43" s="1" t="s">
        <v>104</v>
      </c>
      <c r="G43" s="1" t="s">
        <v>105</v>
      </c>
      <c r="H43" s="5">
        <v>10072.459999999999</v>
      </c>
      <c r="I43" s="6">
        <v>44259</v>
      </c>
      <c r="J43" s="14" t="str">
        <f>IF(AND(B43="Jsy",C43="EF"),"Attention!","")</f>
        <v/>
      </c>
      <c r="K43" s="7" t="str">
        <f>IF(OR(E43="No",F43="No",G43="No"),"Chase","")</f>
        <v>Chase</v>
      </c>
      <c r="L43" s="1" t="str">
        <f>IF(AND(C43="EF",D43="Moore"),"Review","")</f>
        <v/>
      </c>
      <c r="M43" s="1" t="str">
        <f>IF(OR(B43="Jsy",H43="&gt;10000"),"Priority","")</f>
        <v>Priority</v>
      </c>
      <c r="N43" s="1" t="str">
        <f>IF(AND(E43="Yes",F43="Yes",G43="Yes"),"Completed","")</f>
        <v/>
      </c>
      <c r="O43" s="1" t="str">
        <f ca="1">IF(AND(B43="Jsy",I43&lt;=TODAY()),"Overdue","")</f>
        <v>Overdue</v>
      </c>
    </row>
    <row r="44" spans="1:15">
      <c r="A44" s="4" t="s">
        <v>109</v>
      </c>
      <c r="B44" s="1" t="s">
        <v>107</v>
      </c>
      <c r="C44" s="1" t="s">
        <v>112</v>
      </c>
      <c r="D44" s="1" t="s">
        <v>122</v>
      </c>
      <c r="E44" s="1" t="s">
        <v>105</v>
      </c>
      <c r="F44" s="1" t="s">
        <v>105</v>
      </c>
      <c r="G44" s="1" t="s">
        <v>105</v>
      </c>
      <c r="H44" s="5">
        <v>11275</v>
      </c>
      <c r="I44" s="6">
        <v>44670</v>
      </c>
      <c r="J44" s="14" t="str">
        <f>IF(AND(B44="Jsy",C44="EF"),"Attention!","")</f>
        <v/>
      </c>
      <c r="K44" s="7" t="str">
        <f>IF(OR(E44="No",F44="No",G44="No"),"Chase","")</f>
        <v>Chase</v>
      </c>
      <c r="L44" s="1" t="str">
        <f>IF(AND(C44="EF",D44="Moore"),"Review","")</f>
        <v/>
      </c>
      <c r="M44" s="1" t="str">
        <f>IF(OR(B44="Jsy",H44="&gt;10000"),"Priority","")</f>
        <v>Priority</v>
      </c>
      <c r="N44" s="1" t="str">
        <f>IF(AND(E44="Yes",F44="Yes",G44="Yes"),"Completed","")</f>
        <v/>
      </c>
      <c r="O44" s="1" t="str">
        <f ca="1">IF(AND(B44="Jsy",I44&lt;=TODAY()),"Overdue","")</f>
        <v>Overdue</v>
      </c>
    </row>
    <row r="45" spans="1:15">
      <c r="A45" s="4" t="s">
        <v>109</v>
      </c>
      <c r="B45" s="1" t="s">
        <v>119</v>
      </c>
      <c r="C45" s="1" t="s">
        <v>123</v>
      </c>
      <c r="D45" s="1" t="s">
        <v>124</v>
      </c>
      <c r="E45" s="1" t="s">
        <v>103</v>
      </c>
      <c r="F45" s="1" t="s">
        <v>104</v>
      </c>
      <c r="G45" s="1" t="s">
        <v>105</v>
      </c>
      <c r="H45" s="5">
        <v>6466.35</v>
      </c>
      <c r="I45" s="6">
        <v>44363</v>
      </c>
      <c r="J45" s="14" t="str">
        <f>IF(AND(B45="Jsy",C45="EF"),"Attention!","")</f>
        <v/>
      </c>
      <c r="K45" s="7" t="str">
        <f>IF(OR(E45="No",F45="No",G45="No"),"Chase","")</f>
        <v>Chase</v>
      </c>
      <c r="L45" s="1" t="str">
        <f>IF(AND(C45="EF",D45="Moore"),"Review","")</f>
        <v/>
      </c>
      <c r="M45" s="1" t="str">
        <f>IF(OR(B45="Jsy",H45="&gt;10000"),"Priority","")</f>
        <v/>
      </c>
      <c r="N45" s="1" t="str">
        <f>IF(AND(E45="Yes",F45="Yes",G45="Yes"),"Completed","")</f>
        <v/>
      </c>
      <c r="O45" s="1" t="str">
        <f ca="1">IF(AND(B45="Jsy",I45&lt;=TODAY()),"Overdue","")</f>
        <v/>
      </c>
    </row>
    <row r="46" spans="1:15">
      <c r="A46" s="4" t="s">
        <v>100</v>
      </c>
      <c r="B46" s="1" t="s">
        <v>107</v>
      </c>
      <c r="C46" s="1" t="s">
        <v>120</v>
      </c>
      <c r="D46" s="1" t="s">
        <v>124</v>
      </c>
      <c r="E46" s="1" t="s">
        <v>103</v>
      </c>
      <c r="F46" s="1" t="s">
        <v>104</v>
      </c>
      <c r="G46" s="1" t="s">
        <v>103</v>
      </c>
      <c r="H46" s="5">
        <v>9486.39</v>
      </c>
      <c r="I46" s="6">
        <f ca="1">TODAY()+12</f>
        <v>45382</v>
      </c>
      <c r="J46" s="14" t="str">
        <f>IF(AND(B46="Jsy",C46="EF"),"Attention!","")</f>
        <v/>
      </c>
      <c r="K46" s="7" t="str">
        <f>IF(OR(E46="No",F46="No",G46="No"),"Chase","")</f>
        <v/>
      </c>
      <c r="L46" s="1" t="str">
        <f>IF(AND(C46="EF",D46="Moore"),"Review","")</f>
        <v/>
      </c>
      <c r="M46" s="1" t="str">
        <f>IF(OR(B46="Jsy",H46="&gt;10000"),"Priority","")</f>
        <v>Priority</v>
      </c>
      <c r="N46" s="1" t="str">
        <f>IF(AND(E46="Yes",F46="Yes",G46="Yes"),"Completed","")</f>
        <v>Completed</v>
      </c>
      <c r="O46" s="1" t="str">
        <f ca="1">IF(AND(B46="Jsy",I46&lt;=TODAY()),"Overdue","")</f>
        <v/>
      </c>
    </row>
    <row r="47" spans="1:15">
      <c r="A47" s="4" t="s">
        <v>109</v>
      </c>
      <c r="B47" s="1" t="s">
        <v>101</v>
      </c>
      <c r="C47" s="1" t="s">
        <v>120</v>
      </c>
      <c r="D47" s="1" t="s">
        <v>124</v>
      </c>
      <c r="E47" s="1" t="s">
        <v>103</v>
      </c>
      <c r="F47" s="1" t="s">
        <v>105</v>
      </c>
      <c r="G47" s="1" t="s">
        <v>105</v>
      </c>
      <c r="H47" s="5">
        <v>10588</v>
      </c>
      <c r="I47" s="6">
        <v>44736</v>
      </c>
      <c r="J47" s="14" t="str">
        <f>IF(AND(B47="Jsy",C47="EF"),"Attention!","")</f>
        <v/>
      </c>
      <c r="K47" s="7" t="str">
        <f>IF(OR(E47="No",F47="No",G47="No"),"Chase","")</f>
        <v>Chase</v>
      </c>
      <c r="L47" s="1" t="str">
        <f>IF(AND(C47="EF",D47="Moore"),"Review","")</f>
        <v/>
      </c>
      <c r="M47" s="1" t="str">
        <f>IF(OR(B47="Jsy",H47="&gt;10000"),"Priority","")</f>
        <v/>
      </c>
      <c r="N47" s="1" t="str">
        <f>IF(AND(E47="Yes",F47="Yes",G47="Yes"),"Completed","")</f>
        <v/>
      </c>
      <c r="O47" s="1" t="str">
        <f ca="1">IF(AND(B47="Jsy",I47&lt;=TODAY()),"Overdue","")</f>
        <v/>
      </c>
    </row>
    <row r="48" spans="1:15">
      <c r="A48" s="4" t="s">
        <v>100</v>
      </c>
      <c r="B48" s="1" t="s">
        <v>107</v>
      </c>
      <c r="C48" s="1" t="s">
        <v>120</v>
      </c>
      <c r="D48" s="1" t="s">
        <v>124</v>
      </c>
      <c r="E48" s="1" t="s">
        <v>103</v>
      </c>
      <c r="F48" s="1" t="s">
        <v>104</v>
      </c>
      <c r="G48" s="1" t="s">
        <v>103</v>
      </c>
      <c r="H48" s="5">
        <v>11040</v>
      </c>
      <c r="I48" s="6">
        <f ca="1">TODAY()+29</f>
        <v>45399</v>
      </c>
      <c r="J48" s="14" t="str">
        <f>IF(AND(B48="Jsy",C48="EF"),"Attention!","")</f>
        <v/>
      </c>
      <c r="K48" s="7" t="str">
        <f>IF(OR(E48="No",F48="No",G48="No"),"Chase","")</f>
        <v/>
      </c>
      <c r="L48" s="1" t="str">
        <f>IF(AND(C48="EF",D48="Moore"),"Review","")</f>
        <v/>
      </c>
      <c r="M48" s="1" t="str">
        <f>IF(OR(B48="Jsy",H48="&gt;10000"),"Priority","")</f>
        <v>Priority</v>
      </c>
      <c r="N48" s="1" t="str">
        <f>IF(AND(E48="Yes",F48="Yes",G48="Yes"),"Completed","")</f>
        <v>Completed</v>
      </c>
      <c r="O48" s="1" t="str">
        <f ca="1">IF(AND(B48="Jsy",I48&lt;=TODAY()),"Overdue","")</f>
        <v/>
      </c>
    </row>
    <row r="49" spans="1:15">
      <c r="A49" s="4" t="s">
        <v>100</v>
      </c>
      <c r="B49" s="1" t="s">
        <v>107</v>
      </c>
      <c r="C49" s="1" t="s">
        <v>120</v>
      </c>
      <c r="D49" s="1" t="s">
        <v>124</v>
      </c>
      <c r="E49" s="1" t="s">
        <v>103</v>
      </c>
      <c r="F49" s="1" t="s">
        <v>104</v>
      </c>
      <c r="G49" s="1" t="s">
        <v>103</v>
      </c>
      <c r="H49" s="5">
        <v>11048</v>
      </c>
      <c r="I49" s="6">
        <f ca="1">TODAY()+82</f>
        <v>45452</v>
      </c>
      <c r="J49" s="14" t="str">
        <f>IF(AND(B49="Jsy",C49="EF"),"Attention!","")</f>
        <v/>
      </c>
      <c r="K49" s="7" t="str">
        <f>IF(OR(E49="No",F49="No",G49="No"),"Chase","")</f>
        <v/>
      </c>
      <c r="L49" s="1" t="str">
        <f>IF(AND(C49="EF",D49="Moore"),"Review","")</f>
        <v/>
      </c>
      <c r="M49" s="1" t="str">
        <f>IF(OR(B49="Jsy",H49="&gt;10000"),"Priority","")</f>
        <v>Priority</v>
      </c>
      <c r="N49" s="1" t="str">
        <f>IF(AND(E49="Yes",F49="Yes",G49="Yes"),"Completed","")</f>
        <v>Completed</v>
      </c>
      <c r="O49" s="1" t="str">
        <f ca="1">IF(AND(B49="Jsy",I49&lt;=TODAY()),"Overdue","")</f>
        <v/>
      </c>
    </row>
    <row r="50" spans="1:15">
      <c r="A50" s="4" t="s">
        <v>100</v>
      </c>
      <c r="B50" s="1" t="s">
        <v>119</v>
      </c>
      <c r="C50" s="1" t="s">
        <v>123</v>
      </c>
      <c r="D50" s="1" t="s">
        <v>124</v>
      </c>
      <c r="E50" s="1" t="s">
        <v>103</v>
      </c>
      <c r="F50" s="1" t="s">
        <v>104</v>
      </c>
      <c r="G50" s="1" t="s">
        <v>103</v>
      </c>
      <c r="H50" s="5">
        <v>11139.5</v>
      </c>
      <c r="I50" s="6">
        <f ca="1">TODAY()+23</f>
        <v>45393</v>
      </c>
      <c r="J50" s="14" t="str">
        <f>IF(AND(B50="Jsy",C50="EF"),"Attention!","")</f>
        <v/>
      </c>
      <c r="K50" s="7" t="str">
        <f>IF(OR(E50="No",F50="No",G50="No"),"Chase","")</f>
        <v/>
      </c>
      <c r="L50" s="1" t="str">
        <f>IF(AND(C50="EF",D50="Moore"),"Review","")</f>
        <v/>
      </c>
      <c r="M50" s="1" t="str">
        <f>IF(OR(B50="Jsy",H50="&gt;10000"),"Priority","")</f>
        <v/>
      </c>
      <c r="N50" s="1" t="str">
        <f>IF(AND(E50="Yes",F50="Yes",G50="Yes"),"Completed","")</f>
        <v>Completed</v>
      </c>
      <c r="O50" s="1" t="str">
        <f ca="1">IF(AND(B50="Jsy",I50&lt;=TODAY()),"Overdue","")</f>
        <v/>
      </c>
    </row>
    <row r="51" spans="1:15">
      <c r="A51" s="4" t="s">
        <v>109</v>
      </c>
      <c r="B51" s="1" t="s">
        <v>107</v>
      </c>
      <c r="C51" s="1" t="s">
        <v>120</v>
      </c>
      <c r="D51" s="1" t="s">
        <v>124</v>
      </c>
      <c r="E51" s="1" t="s">
        <v>103</v>
      </c>
      <c r="F51" s="1" t="s">
        <v>105</v>
      </c>
      <c r="G51" s="1" t="s">
        <v>105</v>
      </c>
      <c r="H51" s="5">
        <v>11373</v>
      </c>
      <c r="I51" s="6">
        <v>44707</v>
      </c>
      <c r="J51" s="14" t="str">
        <f>IF(AND(B51="Jsy",C51="EF"),"Attention!","")</f>
        <v/>
      </c>
      <c r="K51" s="7" t="str">
        <f>IF(OR(E51="No",F51="No",G51="No"),"Chase","")</f>
        <v>Chase</v>
      </c>
      <c r="L51" s="1" t="str">
        <f>IF(AND(C51="EF",D51="Moore"),"Review","")</f>
        <v/>
      </c>
      <c r="M51" s="1" t="str">
        <f>IF(OR(B51="Jsy",H51="&gt;10000"),"Priority","")</f>
        <v>Priority</v>
      </c>
      <c r="N51" s="1" t="str">
        <f>IF(AND(E51="Yes",F51="Yes",G51="Yes"),"Completed","")</f>
        <v/>
      </c>
      <c r="O51" s="1" t="str">
        <f ca="1">IF(AND(B51="Jsy",I51&lt;=TODAY()),"Overdue","")</f>
        <v>Overdue</v>
      </c>
    </row>
    <row r="52" spans="1:15">
      <c r="A52" s="4" t="s">
        <v>109</v>
      </c>
      <c r="B52" s="1" t="s">
        <v>107</v>
      </c>
      <c r="C52" s="1" t="s">
        <v>120</v>
      </c>
      <c r="D52" s="1" t="s">
        <v>124</v>
      </c>
      <c r="E52" s="1" t="s">
        <v>103</v>
      </c>
      <c r="F52" s="1" t="s">
        <v>105</v>
      </c>
      <c r="G52" s="1" t="s">
        <v>105</v>
      </c>
      <c r="H52" s="5">
        <v>11575</v>
      </c>
      <c r="I52" s="6">
        <v>44626</v>
      </c>
      <c r="J52" s="14" t="str">
        <f>IF(AND(B52="Jsy",C52="EF"),"Attention!","")</f>
        <v/>
      </c>
      <c r="K52" s="7" t="str">
        <f>IF(OR(E52="No",F52="No",G52="No"),"Chase","")</f>
        <v>Chase</v>
      </c>
      <c r="L52" s="1" t="str">
        <f>IF(AND(C52="EF",D52="Moore"),"Review","")</f>
        <v/>
      </c>
      <c r="M52" s="1" t="str">
        <f>IF(OR(B52="Jsy",H52="&gt;10000"),"Priority","")</f>
        <v>Priority</v>
      </c>
      <c r="N52" s="1" t="str">
        <f>IF(AND(E52="Yes",F52="Yes",G52="Yes"),"Completed","")</f>
        <v/>
      </c>
      <c r="O52" s="1" t="str">
        <f ca="1">IF(AND(B52="Jsy",I52&lt;=TODAY()),"Overdue","")</f>
        <v>Overdue</v>
      </c>
    </row>
    <row r="53" spans="1:15">
      <c r="A53" s="4" t="s">
        <v>109</v>
      </c>
      <c r="B53" s="1" t="s">
        <v>101</v>
      </c>
      <c r="C53" s="1" t="s">
        <v>120</v>
      </c>
      <c r="D53" s="1" t="s">
        <v>124</v>
      </c>
      <c r="E53" s="1" t="s">
        <v>105</v>
      </c>
      <c r="F53" s="1" t="s">
        <v>105</v>
      </c>
      <c r="G53" s="1" t="s">
        <v>105</v>
      </c>
      <c r="H53" s="5">
        <v>11771.5</v>
      </c>
      <c r="I53" s="6">
        <v>44648</v>
      </c>
      <c r="J53" s="14" t="str">
        <f>IF(AND(B53="Jsy",C53="EF"),"Attention!","")</f>
        <v/>
      </c>
      <c r="K53" s="7" t="str">
        <f>IF(OR(E53="No",F53="No",G53="No"),"Chase","")</f>
        <v>Chase</v>
      </c>
      <c r="L53" s="1" t="str">
        <f>IF(AND(C53="EF",D53="Moore"),"Review","")</f>
        <v/>
      </c>
      <c r="M53" s="1" t="str">
        <f>IF(OR(B53="Jsy",H53="&gt;10000"),"Priority","")</f>
        <v/>
      </c>
      <c r="N53" s="1" t="str">
        <f>IF(AND(E53="Yes",F53="Yes",G53="Yes"),"Completed","")</f>
        <v/>
      </c>
      <c r="O53" s="1" t="str">
        <f ca="1">IF(AND(B53="Jsy",I53&lt;=TODAY()),"Overdue","")</f>
        <v/>
      </c>
    </row>
    <row r="54" spans="1:15">
      <c r="A54" s="4" t="s">
        <v>109</v>
      </c>
      <c r="B54" s="1" t="s">
        <v>119</v>
      </c>
      <c r="C54" s="1" t="s">
        <v>123</v>
      </c>
      <c r="D54" s="1" t="s">
        <v>124</v>
      </c>
      <c r="E54" s="1" t="s">
        <v>103</v>
      </c>
      <c r="F54" s="1" t="s">
        <v>104</v>
      </c>
      <c r="G54" s="1" t="s">
        <v>105</v>
      </c>
      <c r="H54" s="5">
        <v>12400</v>
      </c>
      <c r="I54" s="6">
        <v>44331</v>
      </c>
      <c r="J54" s="14" t="str">
        <f>IF(AND(B54="Jsy",C54="EF"),"Attention!","")</f>
        <v/>
      </c>
      <c r="K54" s="7" t="str">
        <f>IF(OR(E54="No",F54="No",G54="No"),"Chase","")</f>
        <v>Chase</v>
      </c>
      <c r="L54" s="1" t="str">
        <f>IF(AND(C54="EF",D54="Moore"),"Review","")</f>
        <v/>
      </c>
      <c r="M54" s="1" t="str">
        <f>IF(OR(B54="Jsy",H54="&gt;10000"),"Priority","")</f>
        <v/>
      </c>
      <c r="N54" s="1" t="str">
        <f>IF(AND(E54="Yes",F54="Yes",G54="Yes"),"Completed","")</f>
        <v/>
      </c>
      <c r="O54" s="1" t="str">
        <f ca="1">IF(AND(B54="Jsy",I54&lt;=TODAY()),"Overdue","")</f>
        <v/>
      </c>
    </row>
    <row r="55" spans="1:15">
      <c r="A55" s="4" t="s">
        <v>109</v>
      </c>
      <c r="B55" s="1" t="s">
        <v>119</v>
      </c>
      <c r="C55" s="1" t="s">
        <v>123</v>
      </c>
      <c r="D55" s="1" t="s">
        <v>124</v>
      </c>
      <c r="E55" s="1" t="s">
        <v>103</v>
      </c>
      <c r="F55" s="1" t="s">
        <v>104</v>
      </c>
      <c r="G55" s="1" t="s">
        <v>105</v>
      </c>
      <c r="H55" s="5">
        <v>12624</v>
      </c>
      <c r="I55" s="6">
        <v>44290</v>
      </c>
      <c r="J55" s="14" t="str">
        <f>IF(AND(B55="Jsy",C55="EF"),"Attention!","")</f>
        <v/>
      </c>
      <c r="K55" s="7" t="str">
        <f>IF(OR(E55="No",F55="No",G55="No"),"Chase","")</f>
        <v>Chase</v>
      </c>
      <c r="L55" s="1" t="str">
        <f>IF(AND(C55="EF",D55="Moore"),"Review","")</f>
        <v/>
      </c>
      <c r="M55" s="1" t="str">
        <f>IF(OR(B55="Jsy",H55="&gt;10000"),"Priority","")</f>
        <v/>
      </c>
      <c r="N55" s="1" t="str">
        <f>IF(AND(E55="Yes",F55="Yes",G55="Yes"),"Completed","")</f>
        <v/>
      </c>
      <c r="O55" s="1" t="str">
        <f ca="1">IF(AND(B55="Jsy",I55&lt;=TODAY()),"Overdue","")</f>
        <v/>
      </c>
    </row>
    <row r="56" spans="1:15">
      <c r="A56" s="4" t="s">
        <v>109</v>
      </c>
      <c r="B56" s="1" t="s">
        <v>119</v>
      </c>
      <c r="C56" s="1" t="s">
        <v>123</v>
      </c>
      <c r="D56" s="1" t="s">
        <v>124</v>
      </c>
      <c r="E56" s="1" t="s">
        <v>103</v>
      </c>
      <c r="F56" s="1" t="s">
        <v>104</v>
      </c>
      <c r="G56" s="1" t="s">
        <v>105</v>
      </c>
      <c r="H56" s="5">
        <v>12624</v>
      </c>
      <c r="I56" s="6">
        <v>44335</v>
      </c>
      <c r="J56" s="14" t="str">
        <f>IF(AND(B56="Jsy",C56="EF"),"Attention!","")</f>
        <v/>
      </c>
      <c r="K56" s="7" t="str">
        <f>IF(OR(E56="No",F56="No",G56="No"),"Chase","")</f>
        <v>Chase</v>
      </c>
      <c r="L56" s="1" t="str">
        <f>IF(AND(C56="EF",D56="Moore"),"Review","")</f>
        <v/>
      </c>
      <c r="M56" s="1" t="str">
        <f>IF(OR(B56="Jsy",H56="&gt;10000"),"Priority","")</f>
        <v/>
      </c>
      <c r="N56" s="1" t="str">
        <f>IF(AND(E56="Yes",F56="Yes",G56="Yes"),"Completed","")</f>
        <v/>
      </c>
      <c r="O56" s="1" t="str">
        <f ca="1">IF(AND(B56="Jsy",I56&lt;=TODAY()),"Overdue","")</f>
        <v/>
      </c>
    </row>
    <row r="57" spans="1:15">
      <c r="A57" s="4" t="s">
        <v>109</v>
      </c>
      <c r="B57" s="1" t="s">
        <v>101</v>
      </c>
      <c r="C57" s="1" t="s">
        <v>120</v>
      </c>
      <c r="D57" s="1" t="s">
        <v>124</v>
      </c>
      <c r="E57" s="1" t="s">
        <v>105</v>
      </c>
      <c r="F57" s="1" t="s">
        <v>105</v>
      </c>
      <c r="G57" s="1" t="s">
        <v>105</v>
      </c>
      <c r="H57" s="5">
        <v>13979.25</v>
      </c>
      <c r="I57" s="6">
        <v>44626</v>
      </c>
      <c r="J57" s="14" t="str">
        <f>IF(AND(B57="Jsy",C57="EF"),"Attention!","")</f>
        <v/>
      </c>
      <c r="K57" s="7" t="str">
        <f>IF(OR(E57="No",F57="No",G57="No"),"Chase","")</f>
        <v>Chase</v>
      </c>
      <c r="L57" s="1" t="str">
        <f>IF(AND(C57="EF",D57="Moore"),"Review","")</f>
        <v/>
      </c>
      <c r="M57" s="1" t="str">
        <f>IF(OR(B57="Jsy",H57="&gt;10000"),"Priority","")</f>
        <v/>
      </c>
      <c r="N57" s="1" t="str">
        <f>IF(AND(E57="Yes",F57="Yes",G57="Yes"),"Completed","")</f>
        <v/>
      </c>
      <c r="O57" s="1" t="str">
        <f ca="1">IF(AND(B57="Jsy",I57&lt;=TODAY()),"Overdue","")</f>
        <v/>
      </c>
    </row>
    <row r="58" spans="1:15">
      <c r="A58" s="4" t="s">
        <v>109</v>
      </c>
      <c r="B58" s="1" t="s">
        <v>119</v>
      </c>
      <c r="C58" s="1" t="s">
        <v>123</v>
      </c>
      <c r="D58" s="1" t="s">
        <v>124</v>
      </c>
      <c r="E58" s="1" t="s">
        <v>103</v>
      </c>
      <c r="F58" s="1" t="s">
        <v>104</v>
      </c>
      <c r="G58" s="1" t="s">
        <v>105</v>
      </c>
      <c r="H58" s="5">
        <v>14786</v>
      </c>
      <c r="I58" s="6">
        <v>44304</v>
      </c>
      <c r="J58" s="14" t="str">
        <f>IF(AND(B58="Jsy",C58="EF"),"Attention!","")</f>
        <v/>
      </c>
      <c r="K58" s="7" t="str">
        <f>IF(OR(E58="No",F58="No",G58="No"),"Chase","")</f>
        <v>Chase</v>
      </c>
      <c r="L58" s="1" t="str">
        <f>IF(AND(C58="EF",D58="Moore"),"Review","")</f>
        <v/>
      </c>
      <c r="M58" s="1" t="str">
        <f>IF(OR(B58="Jsy",H58="&gt;10000"),"Priority","")</f>
        <v/>
      </c>
      <c r="N58" s="1" t="str">
        <f>IF(AND(E58="Yes",F58="Yes",G58="Yes"),"Completed","")</f>
        <v/>
      </c>
      <c r="O58" s="1" t="str">
        <f ca="1">IF(AND(B58="Jsy",I58&lt;=TODAY()),"Overdue","")</f>
        <v/>
      </c>
    </row>
    <row r="59" spans="1:15">
      <c r="A59" s="4" t="s">
        <v>109</v>
      </c>
      <c r="B59" s="1" t="s">
        <v>119</v>
      </c>
      <c r="C59" s="1" t="s">
        <v>123</v>
      </c>
      <c r="D59" s="1" t="s">
        <v>124</v>
      </c>
      <c r="E59" s="1" t="s">
        <v>103</v>
      </c>
      <c r="F59" s="1" t="s">
        <v>104</v>
      </c>
      <c r="G59" s="1" t="s">
        <v>105</v>
      </c>
      <c r="H59" s="5">
        <v>15389.5</v>
      </c>
      <c r="I59" s="6">
        <v>44347</v>
      </c>
      <c r="J59" s="14" t="str">
        <f>IF(AND(B59="Jsy",C59="EF"),"Attention!","")</f>
        <v/>
      </c>
      <c r="K59" s="7" t="str">
        <f>IF(OR(E59="No",F59="No",G59="No"),"Chase","")</f>
        <v>Chase</v>
      </c>
      <c r="L59" s="1" t="str">
        <f>IF(AND(C59="EF",D59="Moore"),"Review","")</f>
        <v/>
      </c>
      <c r="M59" s="1" t="str">
        <f>IF(OR(B59="Jsy",H59="&gt;10000"),"Priority","")</f>
        <v/>
      </c>
      <c r="N59" s="1" t="str">
        <f>IF(AND(E59="Yes",F59="Yes",G59="Yes"),"Completed","")</f>
        <v/>
      </c>
      <c r="O59" s="1" t="str">
        <f ca="1">IF(AND(B59="Jsy",I59&lt;=TODAY()),"Overdue","")</f>
        <v/>
      </c>
    </row>
    <row r="60" spans="1:15">
      <c r="A60" s="4" t="s">
        <v>109</v>
      </c>
      <c r="B60" s="1" t="s">
        <v>119</v>
      </c>
      <c r="C60" s="1" t="s">
        <v>123</v>
      </c>
      <c r="D60" s="1" t="s">
        <v>124</v>
      </c>
      <c r="E60" s="1" t="s">
        <v>105</v>
      </c>
      <c r="F60" s="1" t="s">
        <v>104</v>
      </c>
      <c r="G60" s="1" t="s">
        <v>105</v>
      </c>
      <c r="H60" s="5">
        <v>15506.57</v>
      </c>
      <c r="I60" s="6">
        <v>44268</v>
      </c>
      <c r="J60" s="14" t="str">
        <f>IF(AND(B60="Jsy",C60="EF"),"Attention!","")</f>
        <v/>
      </c>
      <c r="K60" s="7" t="str">
        <f>IF(OR(E60="No",F60="No",G60="No"),"Chase","")</f>
        <v>Chase</v>
      </c>
      <c r="L60" s="1" t="str">
        <f>IF(AND(C60="EF",D60="Moore"),"Review","")</f>
        <v/>
      </c>
      <c r="M60" s="1" t="str">
        <f>IF(OR(B60="Jsy",H60="&gt;10000"),"Priority","")</f>
        <v/>
      </c>
      <c r="N60" s="1" t="str">
        <f>IF(AND(E60="Yes",F60="Yes",G60="Yes"),"Completed","")</f>
        <v/>
      </c>
      <c r="O60" s="1" t="str">
        <f ca="1">IF(AND(B60="Jsy",I60&lt;=TODAY()),"Overdue","")</f>
        <v/>
      </c>
    </row>
    <row r="61" spans="1:15">
      <c r="A61" s="4" t="s">
        <v>100</v>
      </c>
      <c r="B61" s="1" t="s">
        <v>119</v>
      </c>
      <c r="C61" s="1" t="s">
        <v>123</v>
      </c>
      <c r="D61" s="1" t="s">
        <v>124</v>
      </c>
      <c r="E61" s="1" t="s">
        <v>103</v>
      </c>
      <c r="F61" s="1" t="s">
        <v>104</v>
      </c>
      <c r="G61" s="1" t="s">
        <v>103</v>
      </c>
      <c r="H61" s="5">
        <v>15850</v>
      </c>
      <c r="I61" s="6">
        <f ca="1">TODAY()+20</f>
        <v>45390</v>
      </c>
      <c r="J61" s="14" t="str">
        <f>IF(AND(B61="Jsy",C61="EF"),"Attention!","")</f>
        <v/>
      </c>
      <c r="K61" s="7" t="str">
        <f>IF(OR(E61="No",F61="No",G61="No"),"Chase","")</f>
        <v/>
      </c>
      <c r="L61" s="1" t="str">
        <f>IF(AND(C61="EF",D61="Moore"),"Review","")</f>
        <v/>
      </c>
      <c r="M61" s="1" t="str">
        <f>IF(OR(B61="Jsy",H61="&gt;10000"),"Priority","")</f>
        <v/>
      </c>
      <c r="N61" s="1" t="str">
        <f>IF(AND(E61="Yes",F61="Yes",G61="Yes"),"Completed","")</f>
        <v>Completed</v>
      </c>
      <c r="O61" s="1" t="str">
        <f ca="1">IF(AND(B61="Jsy",I61&lt;=TODAY()),"Overdue","")</f>
        <v/>
      </c>
    </row>
    <row r="62" spans="1:15">
      <c r="A62" s="4" t="s">
        <v>109</v>
      </c>
      <c r="B62" s="1" t="s">
        <v>119</v>
      </c>
      <c r="C62" s="1" t="s">
        <v>123</v>
      </c>
      <c r="D62" s="1" t="s">
        <v>124</v>
      </c>
      <c r="E62" s="1" t="s">
        <v>103</v>
      </c>
      <c r="F62" s="1" t="s">
        <v>104</v>
      </c>
      <c r="G62" s="1" t="s">
        <v>105</v>
      </c>
      <c r="H62" s="5">
        <v>16364.28</v>
      </c>
      <c r="I62" s="6">
        <v>44325</v>
      </c>
      <c r="J62" s="14" t="str">
        <f>IF(AND(B62="Jsy",C62="EF"),"Attention!","")</f>
        <v/>
      </c>
      <c r="K62" s="7" t="str">
        <f>IF(OR(E62="No",F62="No",G62="No"),"Chase","")</f>
        <v>Chase</v>
      </c>
      <c r="L62" s="1" t="str">
        <f>IF(AND(C62="EF",D62="Moore"),"Review","")</f>
        <v/>
      </c>
      <c r="M62" s="1" t="str">
        <f>IF(OR(B62="Jsy",H62="&gt;10000"),"Priority","")</f>
        <v/>
      </c>
      <c r="N62" s="1" t="str">
        <f>IF(AND(E62="Yes",F62="Yes",G62="Yes"),"Completed","")</f>
        <v/>
      </c>
      <c r="O62" s="1" t="str">
        <f ca="1">IF(AND(B62="Jsy",I62&lt;=TODAY()),"Overdue","")</f>
        <v/>
      </c>
    </row>
    <row r="63" spans="1:15">
      <c r="A63" s="4" t="s">
        <v>109</v>
      </c>
      <c r="B63" s="1" t="s">
        <v>107</v>
      </c>
      <c r="C63" s="1" t="s">
        <v>120</v>
      </c>
      <c r="D63" s="1" t="s">
        <v>124</v>
      </c>
      <c r="E63" s="1" t="s">
        <v>103</v>
      </c>
      <c r="F63" s="1" t="s">
        <v>105</v>
      </c>
      <c r="G63" s="1" t="s">
        <v>105</v>
      </c>
      <c r="H63" s="5">
        <v>49922</v>
      </c>
      <c r="I63" s="6">
        <v>44676</v>
      </c>
      <c r="J63" s="14" t="str">
        <f>IF(AND(B63="Jsy",C63="EF"),"Attention!","")</f>
        <v/>
      </c>
      <c r="K63" s="7" t="str">
        <f>IF(OR(E63="No",F63="No",G63="No"),"Chase","")</f>
        <v>Chase</v>
      </c>
      <c r="L63" s="1" t="str">
        <f>IF(AND(C63="EF",D63="Moore"),"Review","")</f>
        <v/>
      </c>
      <c r="M63" s="1" t="str">
        <f>IF(OR(B63="Jsy",H63="&gt;10000"),"Priority","")</f>
        <v>Priority</v>
      </c>
      <c r="N63" s="1" t="str">
        <f>IF(AND(E63="Yes",F63="Yes",G63="Yes"),"Completed","")</f>
        <v/>
      </c>
      <c r="O63" s="1" t="str">
        <f ca="1">IF(AND(B63="Jsy",I63&lt;=TODAY()),"Overdue","")</f>
        <v>Overdue</v>
      </c>
    </row>
    <row r="64" spans="1:15">
      <c r="A64" s="4" t="s">
        <v>109</v>
      </c>
      <c r="B64" s="1" t="s">
        <v>119</v>
      </c>
      <c r="C64" s="1" t="s">
        <v>123</v>
      </c>
      <c r="D64" s="1" t="s">
        <v>124</v>
      </c>
      <c r="E64" s="1" t="s">
        <v>103</v>
      </c>
      <c r="F64" s="1" t="s">
        <v>104</v>
      </c>
      <c r="G64" s="1" t="s">
        <v>105</v>
      </c>
      <c r="H64" s="5">
        <v>50061</v>
      </c>
      <c r="I64" s="6">
        <v>44354</v>
      </c>
      <c r="J64" s="14" t="str">
        <f>IF(AND(B64="Jsy",C64="EF"),"Attention!","")</f>
        <v/>
      </c>
      <c r="K64" s="7" t="str">
        <f>IF(OR(E64="No",F64="No",G64="No"),"Chase","")</f>
        <v>Chase</v>
      </c>
      <c r="L64" s="1" t="str">
        <f>IF(AND(C64="EF",D64="Moore"),"Review","")</f>
        <v/>
      </c>
      <c r="M64" s="1" t="str">
        <f>IF(OR(B64="Jsy",H64="&gt;10000"),"Priority","")</f>
        <v/>
      </c>
      <c r="N64" s="1" t="str">
        <f>IF(AND(E64="Yes",F64="Yes",G64="Yes"),"Completed","")</f>
        <v/>
      </c>
      <c r="O64" s="1" t="str">
        <f ca="1">IF(AND(B64="Jsy",I64&lt;=TODAY()),"Overdue","")</f>
        <v/>
      </c>
    </row>
    <row r="65" spans="1:15">
      <c r="A65" s="4" t="s">
        <v>125</v>
      </c>
      <c r="B65" s="1" t="s">
        <v>107</v>
      </c>
      <c r="C65" s="1" t="s">
        <v>120</v>
      </c>
      <c r="D65" s="1" t="s">
        <v>124</v>
      </c>
      <c r="E65" s="1" t="s">
        <v>103</v>
      </c>
      <c r="F65" s="1" t="s">
        <v>104</v>
      </c>
      <c r="G65" s="1" t="s">
        <v>105</v>
      </c>
      <c r="H65" s="5">
        <v>50063</v>
      </c>
      <c r="I65" s="6">
        <v>44261</v>
      </c>
      <c r="J65" s="14" t="str">
        <f>IF(AND(B65="Jsy",C65="EF"),"Attention!","")</f>
        <v/>
      </c>
      <c r="K65" s="7" t="str">
        <f>IF(OR(E65="No",F65="No",G65="No"),"Chase","")</f>
        <v>Chase</v>
      </c>
      <c r="L65" s="1" t="str">
        <f>IF(AND(C65="EF",D65="Moore"),"Review","")</f>
        <v/>
      </c>
      <c r="M65" s="1" t="str">
        <f>IF(OR(B65="Jsy",H65="&gt;10000"),"Priority","")</f>
        <v>Priority</v>
      </c>
      <c r="N65" s="1" t="str">
        <f>IF(AND(E65="Yes",F65="Yes",G65="Yes"),"Completed","")</f>
        <v/>
      </c>
      <c r="O65" s="1" t="str">
        <f ca="1">IF(AND(B65="Jsy",I65&lt;=TODAY()),"Overdue","")</f>
        <v>Overdue</v>
      </c>
    </row>
    <row r="66" spans="1:15">
      <c r="A66" s="4" t="s">
        <v>126</v>
      </c>
      <c r="B66" s="1" t="s">
        <v>101</v>
      </c>
      <c r="C66" s="1" t="s">
        <v>120</v>
      </c>
      <c r="D66" s="1" t="s">
        <v>124</v>
      </c>
      <c r="E66" s="1" t="s">
        <v>103</v>
      </c>
      <c r="F66" s="1" t="s">
        <v>104</v>
      </c>
      <c r="G66" s="1" t="s">
        <v>105</v>
      </c>
      <c r="H66" s="5">
        <v>50995</v>
      </c>
      <c r="I66" s="6">
        <v>44316</v>
      </c>
      <c r="J66" s="14" t="str">
        <f>IF(AND(B66="Jsy",C66="EF"),"Attention!","")</f>
        <v/>
      </c>
      <c r="K66" s="7" t="str">
        <f>IF(OR(E66="No",F66="No",G66="No"),"Chase","")</f>
        <v>Chase</v>
      </c>
      <c r="L66" s="1" t="str">
        <f>IF(AND(C66="EF",D66="Moore"),"Review","")</f>
        <v/>
      </c>
      <c r="M66" s="1" t="str">
        <f>IF(OR(B66="Jsy",H66="&gt;10000"),"Priority","")</f>
        <v/>
      </c>
      <c r="N66" s="1" t="str">
        <f>IF(AND(E66="Yes",F66="Yes",G66="Yes"),"Completed","")</f>
        <v/>
      </c>
      <c r="O66" s="1" t="str">
        <f ca="1">IF(AND(B66="Jsy",I66&lt;=TODAY()),"Overdue","")</f>
        <v/>
      </c>
    </row>
    <row r="67" spans="1:15">
      <c r="A67" s="4" t="s">
        <v>109</v>
      </c>
      <c r="B67" s="1" t="s">
        <v>119</v>
      </c>
      <c r="C67" s="1" t="s">
        <v>123</v>
      </c>
      <c r="D67" s="1" t="s">
        <v>124</v>
      </c>
      <c r="E67" s="1" t="s">
        <v>103</v>
      </c>
      <c r="F67" s="1" t="s">
        <v>104</v>
      </c>
      <c r="G67" s="1" t="s">
        <v>105</v>
      </c>
      <c r="H67" s="5">
        <v>51560</v>
      </c>
      <c r="I67" s="6">
        <v>44269</v>
      </c>
      <c r="J67" s="14" t="str">
        <f>IF(AND(B67="Jsy",C67="EF"),"Attention!","")</f>
        <v/>
      </c>
      <c r="K67" s="7" t="str">
        <f>IF(OR(E67="No",F67="No",G67="No"),"Chase","")</f>
        <v>Chase</v>
      </c>
      <c r="L67" s="1" t="str">
        <f>IF(AND(C67="EF",D67="Moore"),"Review","")</f>
        <v/>
      </c>
      <c r="M67" s="1" t="str">
        <f>IF(OR(B67="Jsy",H67="&gt;10000"),"Priority","")</f>
        <v/>
      </c>
      <c r="N67" s="1" t="str">
        <f>IF(AND(E67="Yes",F67="Yes",G67="Yes"),"Completed","")</f>
        <v/>
      </c>
      <c r="O67" s="1" t="str">
        <f ca="1">IF(AND(B67="Jsy",I67&lt;=TODAY()),"Overdue","")</f>
        <v/>
      </c>
    </row>
    <row r="68" spans="1:15">
      <c r="A68" s="4" t="s">
        <v>106</v>
      </c>
      <c r="B68" s="1" t="s">
        <v>119</v>
      </c>
      <c r="C68" s="1" t="s">
        <v>123</v>
      </c>
      <c r="D68" s="1" t="s">
        <v>127</v>
      </c>
      <c r="E68" s="1" t="s">
        <v>103</v>
      </c>
      <c r="F68" s="1" t="s">
        <v>104</v>
      </c>
      <c r="G68" s="1" t="s">
        <v>105</v>
      </c>
      <c r="H68" s="5">
        <v>7855</v>
      </c>
      <c r="I68" s="6">
        <f ca="1">TODAY()+55</f>
        <v>45425</v>
      </c>
      <c r="J68" s="14" t="str">
        <f>IF(AND(B68="Jsy",C68="EF"),"Attention!","")</f>
        <v/>
      </c>
      <c r="K68" s="7" t="str">
        <f>IF(OR(E68="No",F68="No",G68="No"),"Chase","")</f>
        <v>Chase</v>
      </c>
      <c r="L68" s="1" t="str">
        <f>IF(AND(C68="EF",D68="Moore"),"Review","")</f>
        <v/>
      </c>
      <c r="M68" s="1" t="str">
        <f>IF(OR(B68="Jsy",H68="&gt;10000"),"Priority","")</f>
        <v/>
      </c>
      <c r="N68" s="1" t="str">
        <f>IF(AND(E68="Yes",F68="Yes",G68="Yes"),"Completed","")</f>
        <v/>
      </c>
      <c r="O68" s="1" t="str">
        <f ca="1">IF(AND(B68="Jsy",I68&lt;=TODAY()),"Overdue","")</f>
        <v/>
      </c>
    </row>
    <row r="69" spans="1:15">
      <c r="A69" s="4" t="s">
        <v>109</v>
      </c>
      <c r="B69" s="1" t="s">
        <v>101</v>
      </c>
      <c r="C69" s="1" t="s">
        <v>123</v>
      </c>
      <c r="D69" s="1" t="s">
        <v>127</v>
      </c>
      <c r="E69" s="1" t="s">
        <v>105</v>
      </c>
      <c r="F69" s="1" t="s">
        <v>105</v>
      </c>
      <c r="G69" s="1" t="s">
        <v>105</v>
      </c>
      <c r="H69" s="5">
        <v>11182</v>
      </c>
      <c r="I69" s="6">
        <v>44681</v>
      </c>
      <c r="J69" s="14" t="str">
        <f>IF(AND(B69="Jsy",C69="EF"),"Attention!","")</f>
        <v/>
      </c>
      <c r="K69" s="7" t="str">
        <f>IF(OR(E69="No",F69="No",G69="No"),"Chase","")</f>
        <v>Chase</v>
      </c>
      <c r="L69" s="1" t="str">
        <f>IF(AND(C69="EF",D69="Moore"),"Review","")</f>
        <v/>
      </c>
      <c r="M69" s="1" t="str">
        <f>IF(OR(B69="Jsy",H69="&gt;10000"),"Priority","")</f>
        <v/>
      </c>
      <c r="N69" s="1" t="str">
        <f>IF(AND(E69="Yes",F69="Yes",G69="Yes"),"Completed","")</f>
        <v/>
      </c>
      <c r="O69" s="1" t="str">
        <f ca="1">IF(AND(B69="Jsy",I69&lt;=TODAY()),"Overdue","")</f>
        <v/>
      </c>
    </row>
    <row r="70" spans="1:15">
      <c r="A70" s="4" t="s">
        <v>109</v>
      </c>
      <c r="B70" s="1" t="s">
        <v>107</v>
      </c>
      <c r="C70" s="1" t="s">
        <v>120</v>
      </c>
      <c r="D70" s="1" t="s">
        <v>127</v>
      </c>
      <c r="E70" s="1" t="s">
        <v>103</v>
      </c>
      <c r="F70" s="1" t="s">
        <v>105</v>
      </c>
      <c r="G70" s="1" t="s">
        <v>105</v>
      </c>
      <c r="H70" s="5">
        <v>11375</v>
      </c>
      <c r="I70" s="6">
        <v>44681</v>
      </c>
      <c r="J70" s="14" t="str">
        <f>IF(AND(B70="Jsy",C70="EF"),"Attention!","")</f>
        <v/>
      </c>
      <c r="K70" s="7" t="str">
        <f>IF(OR(E70="No",F70="No",G70="No"),"Chase","")</f>
        <v>Chase</v>
      </c>
      <c r="L70" s="1" t="str">
        <f>IF(AND(C70="EF",D70="Moore"),"Review","")</f>
        <v/>
      </c>
      <c r="M70" s="1" t="str">
        <f>IF(OR(B70="Jsy",H70="&gt;10000"),"Priority","")</f>
        <v>Priority</v>
      </c>
      <c r="N70" s="1" t="str">
        <f>IF(AND(E70="Yes",F70="Yes",G70="Yes"),"Completed","")</f>
        <v/>
      </c>
      <c r="O70" s="1" t="str">
        <f ca="1">IF(AND(B70="Jsy",I70&lt;=TODAY()),"Overdue","")</f>
        <v>Overdue</v>
      </c>
    </row>
    <row r="71" spans="1:15">
      <c r="A71" s="4" t="s">
        <v>100</v>
      </c>
      <c r="B71" s="1" t="s">
        <v>107</v>
      </c>
      <c r="C71" s="1" t="s">
        <v>108</v>
      </c>
      <c r="D71" s="1" t="s">
        <v>127</v>
      </c>
      <c r="E71" s="1" t="s">
        <v>103</v>
      </c>
      <c r="F71" s="1" t="s">
        <v>104</v>
      </c>
      <c r="G71" s="1" t="s">
        <v>103</v>
      </c>
      <c r="H71" s="5">
        <v>11533</v>
      </c>
      <c r="I71" s="6">
        <v>44367</v>
      </c>
      <c r="J71" s="14" t="str">
        <f>IF(AND(B71="Jsy",C71="EF"),"Attention!","")</f>
        <v/>
      </c>
      <c r="K71" s="7" t="str">
        <f>IF(OR(E71="No",F71="No",G71="No"),"Chase","")</f>
        <v/>
      </c>
      <c r="L71" s="1" t="str">
        <f>IF(AND(C71="EF",D71="Moore"),"Review","")</f>
        <v/>
      </c>
      <c r="M71" s="1" t="str">
        <f>IF(OR(B71="Jsy",H71="&gt;10000"),"Priority","")</f>
        <v>Priority</v>
      </c>
      <c r="N71" s="1" t="str">
        <f>IF(AND(E71="Yes",F71="Yes",G71="Yes"),"Completed","")</f>
        <v>Completed</v>
      </c>
      <c r="O71" s="1" t="str">
        <f ca="1">IF(AND(B71="Jsy",I71&lt;=TODAY()),"Overdue","")</f>
        <v>Overdue</v>
      </c>
    </row>
    <row r="72" spans="1:15">
      <c r="A72" s="4" t="s">
        <v>109</v>
      </c>
      <c r="B72" s="1" t="s">
        <v>101</v>
      </c>
      <c r="C72" s="1" t="s">
        <v>123</v>
      </c>
      <c r="D72" s="1" t="s">
        <v>127</v>
      </c>
      <c r="E72" s="1" t="s">
        <v>105</v>
      </c>
      <c r="F72" s="1" t="s">
        <v>105</v>
      </c>
      <c r="G72" s="1" t="s">
        <v>105</v>
      </c>
      <c r="H72" s="5">
        <v>16375</v>
      </c>
      <c r="I72" s="6">
        <v>44719</v>
      </c>
      <c r="J72" s="14" t="str">
        <f>IF(AND(B72="Jsy",C72="EF"),"Attention!","")</f>
        <v/>
      </c>
      <c r="K72" s="7" t="str">
        <f>IF(OR(E72="No",F72="No",G72="No"),"Chase","")</f>
        <v>Chase</v>
      </c>
      <c r="L72" s="1" t="str">
        <f>IF(AND(C72="EF",D72="Moore"),"Review","")</f>
        <v/>
      </c>
      <c r="M72" s="1" t="str">
        <f>IF(OR(B72="Jsy",H72="&gt;10000"),"Priority","")</f>
        <v/>
      </c>
      <c r="N72" s="1" t="str">
        <f>IF(AND(E72="Yes",F72="Yes",G72="Yes"),"Completed","")</f>
        <v/>
      </c>
      <c r="O72" s="1" t="str">
        <f ca="1">IF(AND(B72="Jsy",I72&lt;=TODAY()),"Overdue","")</f>
        <v/>
      </c>
    </row>
    <row r="73" spans="1:15">
      <c r="A73" s="4" t="s">
        <v>109</v>
      </c>
      <c r="B73" s="1" t="s">
        <v>101</v>
      </c>
      <c r="C73" s="1" t="s">
        <v>123</v>
      </c>
      <c r="D73" s="1" t="s">
        <v>127</v>
      </c>
      <c r="E73" s="1" t="s">
        <v>105</v>
      </c>
      <c r="F73" s="1" t="s">
        <v>105</v>
      </c>
      <c r="G73" s="1" t="s">
        <v>105</v>
      </c>
      <c r="H73" s="5">
        <v>50734</v>
      </c>
      <c r="I73" s="6">
        <v>44696</v>
      </c>
      <c r="J73" s="14" t="str">
        <f>IF(AND(B73="Jsy",C73="EF"),"Attention!","")</f>
        <v/>
      </c>
      <c r="K73" s="7" t="str">
        <f>IF(OR(E73="No",F73="No",G73="No"),"Chase","")</f>
        <v>Chase</v>
      </c>
      <c r="L73" s="1" t="str">
        <f>IF(AND(C73="EF",D73="Moore"),"Review","")</f>
        <v/>
      </c>
      <c r="M73" s="1" t="str">
        <f>IF(OR(B73="Jsy",H73="&gt;10000"),"Priority","")</f>
        <v/>
      </c>
      <c r="N73" s="1" t="str">
        <f>IF(AND(E73="Yes",F73="Yes",G73="Yes"),"Completed","")</f>
        <v/>
      </c>
      <c r="O73" s="1" t="str">
        <f ca="1">IF(AND(B73="Jsy",I73&lt;=TODAY()),"Overdue","")</f>
        <v/>
      </c>
    </row>
    <row r="74" spans="1:15">
      <c r="A74" s="4" t="s">
        <v>109</v>
      </c>
      <c r="B74" s="1" t="s">
        <v>107</v>
      </c>
      <c r="C74" s="1" t="s">
        <v>112</v>
      </c>
      <c r="D74" s="1" t="s">
        <v>128</v>
      </c>
      <c r="E74" s="1" t="s">
        <v>103</v>
      </c>
      <c r="F74" s="1" t="s">
        <v>105</v>
      </c>
      <c r="G74" s="1" t="s">
        <v>105</v>
      </c>
      <c r="H74" s="5">
        <v>7964.5</v>
      </c>
      <c r="I74" s="6">
        <f ca="1">TODAY()+44</f>
        <v>45414</v>
      </c>
      <c r="J74" s="14" t="str">
        <f>IF(AND(B74="Jsy",C74="EF"),"Attention!","")</f>
        <v/>
      </c>
      <c r="K74" s="7" t="str">
        <f>IF(OR(E74="No",F74="No",G74="No"),"Chase","")</f>
        <v>Chase</v>
      </c>
      <c r="L74" s="1" t="str">
        <f>IF(AND(C74="EF",D74="Moore"),"Review","")</f>
        <v/>
      </c>
      <c r="M74" s="1" t="str">
        <f>IF(OR(B74="Jsy",H74="&gt;10000"),"Priority","")</f>
        <v>Priority</v>
      </c>
      <c r="N74" s="1" t="str">
        <f>IF(AND(E74="Yes",F74="Yes",G74="Yes"),"Completed","")</f>
        <v/>
      </c>
      <c r="O74" s="1" t="str">
        <f ca="1">IF(AND(B74="Jsy",I74&lt;=TODAY()),"Overdue","")</f>
        <v/>
      </c>
    </row>
    <row r="75" spans="1:15">
      <c r="A75" s="4" t="s">
        <v>106</v>
      </c>
      <c r="B75" s="1" t="s">
        <v>107</v>
      </c>
      <c r="C75" s="1" t="s">
        <v>108</v>
      </c>
      <c r="D75" s="1" t="s">
        <v>128</v>
      </c>
      <c r="E75" s="1" t="s">
        <v>103</v>
      </c>
      <c r="F75" s="1" t="s">
        <v>104</v>
      </c>
      <c r="G75" s="1" t="s">
        <v>105</v>
      </c>
      <c r="H75" s="5">
        <v>10440</v>
      </c>
      <c r="I75" s="6">
        <v>44282</v>
      </c>
      <c r="J75" s="14" t="str">
        <f>IF(AND(B75="Jsy",C75="EF"),"Attention!","")</f>
        <v/>
      </c>
      <c r="K75" s="7" t="str">
        <f>IF(OR(E75="No",F75="No",G75="No"),"Chase","")</f>
        <v>Chase</v>
      </c>
      <c r="L75" s="1" t="str">
        <f>IF(AND(C75="EF",D75="Moore"),"Review","")</f>
        <v/>
      </c>
      <c r="M75" s="1" t="str">
        <f>IF(OR(B75="Jsy",H75="&gt;10000"),"Priority","")</f>
        <v>Priority</v>
      </c>
      <c r="N75" s="1" t="str">
        <f>IF(AND(E75="Yes",F75="Yes",G75="Yes"),"Completed","")</f>
        <v/>
      </c>
      <c r="O75" s="1" t="str">
        <f ca="1">IF(AND(B75="Jsy",I75&lt;=TODAY()),"Overdue","")</f>
        <v>Overdue</v>
      </c>
    </row>
    <row r="76" spans="1:15">
      <c r="A76" s="4" t="s">
        <v>109</v>
      </c>
      <c r="B76" s="1" t="s">
        <v>107</v>
      </c>
      <c r="C76" s="1" t="s">
        <v>108</v>
      </c>
      <c r="D76" s="1" t="s">
        <v>128</v>
      </c>
      <c r="E76" s="1" t="s">
        <v>105</v>
      </c>
      <c r="F76" s="1" t="s">
        <v>105</v>
      </c>
      <c r="G76" s="1" t="s">
        <v>105</v>
      </c>
      <c r="H76" s="5">
        <v>10500</v>
      </c>
      <c r="I76" s="6">
        <v>44620</v>
      </c>
      <c r="J76" s="14" t="str">
        <f>IF(AND(B76="Jsy",C76="EF"),"Attention!","")</f>
        <v/>
      </c>
      <c r="K76" s="7" t="str">
        <f>IF(OR(E76="No",F76="No",G76="No"),"Chase","")</f>
        <v>Chase</v>
      </c>
      <c r="L76" s="1" t="str">
        <f>IF(AND(C76="EF",D76="Moore"),"Review","")</f>
        <v/>
      </c>
      <c r="M76" s="1" t="str">
        <f>IF(OR(B76="Jsy",H76="&gt;10000"),"Priority","")</f>
        <v>Priority</v>
      </c>
      <c r="N76" s="1" t="str">
        <f>IF(AND(E76="Yes",F76="Yes",G76="Yes"),"Completed","")</f>
        <v/>
      </c>
      <c r="O76" s="1" t="str">
        <f ca="1">IF(AND(B76="Jsy",I76&lt;=TODAY()),"Overdue","")</f>
        <v>Overdue</v>
      </c>
    </row>
    <row r="77" spans="1:15">
      <c r="A77" s="4" t="s">
        <v>109</v>
      </c>
      <c r="B77" s="1" t="s">
        <v>107</v>
      </c>
      <c r="C77" s="1" t="s">
        <v>108</v>
      </c>
      <c r="D77" s="1" t="s">
        <v>128</v>
      </c>
      <c r="E77" s="1" t="s">
        <v>105</v>
      </c>
      <c r="F77" s="1" t="s">
        <v>105</v>
      </c>
      <c r="G77" s="1" t="s">
        <v>105</v>
      </c>
      <c r="H77" s="5">
        <v>13000</v>
      </c>
      <c r="I77" s="6">
        <v>44693</v>
      </c>
      <c r="J77" s="14" t="str">
        <f>IF(AND(B77="Jsy",C77="EF"),"Attention!","")</f>
        <v/>
      </c>
      <c r="K77" s="7" t="str">
        <f>IF(OR(E77="No",F77="No",G77="No"),"Chase","")</f>
        <v>Chase</v>
      </c>
      <c r="L77" s="1" t="str">
        <f>IF(AND(C77="EF",D77="Moore"),"Review","")</f>
        <v/>
      </c>
      <c r="M77" s="1" t="str">
        <f>IF(OR(B77="Jsy",H77="&gt;10000"),"Priority","")</f>
        <v>Priority</v>
      </c>
      <c r="N77" s="1" t="str">
        <f>IF(AND(E77="Yes",F77="Yes",G77="Yes"),"Completed","")</f>
        <v/>
      </c>
      <c r="O77" s="1" t="str">
        <f ca="1">IF(AND(B77="Jsy",I77&lt;=TODAY()),"Overdue","")</f>
        <v>Overdue</v>
      </c>
    </row>
    <row r="78" spans="1:15">
      <c r="A78" s="4" t="s">
        <v>106</v>
      </c>
      <c r="B78" s="1" t="s">
        <v>101</v>
      </c>
      <c r="C78" s="1" t="s">
        <v>108</v>
      </c>
      <c r="D78" s="1" t="s">
        <v>128</v>
      </c>
      <c r="E78" s="1" t="s">
        <v>103</v>
      </c>
      <c r="F78" s="1" t="s">
        <v>104</v>
      </c>
      <c r="G78" s="1" t="s">
        <v>105</v>
      </c>
      <c r="H78" s="5">
        <v>15253.6</v>
      </c>
      <c r="I78" s="6">
        <v>44324</v>
      </c>
      <c r="J78" s="14" t="str">
        <f>IF(AND(B78="Jsy",C78="EF"),"Attention!","")</f>
        <v/>
      </c>
      <c r="K78" s="7" t="str">
        <f>IF(OR(E78="No",F78="No",G78="No"),"Chase","")</f>
        <v>Chase</v>
      </c>
      <c r="L78" s="1" t="str">
        <f>IF(AND(C78="EF",D78="Moore"),"Review","")</f>
        <v/>
      </c>
      <c r="M78" s="1" t="str">
        <f>IF(OR(B78="Jsy",H78="&gt;10000"),"Priority","")</f>
        <v/>
      </c>
      <c r="N78" s="1" t="str">
        <f>IF(AND(E78="Yes",F78="Yes",G78="Yes"),"Completed","")</f>
        <v/>
      </c>
      <c r="O78" s="1" t="str">
        <f ca="1">IF(AND(B78="Jsy",I78&lt;=TODAY()),"Overdue","")</f>
        <v/>
      </c>
    </row>
    <row r="79" spans="1:15">
      <c r="A79" s="4" t="s">
        <v>106</v>
      </c>
      <c r="B79" s="1" t="s">
        <v>107</v>
      </c>
      <c r="C79" s="1" t="s">
        <v>108</v>
      </c>
      <c r="D79" s="1" t="s">
        <v>128</v>
      </c>
      <c r="E79" s="1" t="s">
        <v>103</v>
      </c>
      <c r="F79" s="1" t="s">
        <v>104</v>
      </c>
      <c r="G79" s="1" t="s">
        <v>105</v>
      </c>
      <c r="H79" s="5">
        <v>55807.5</v>
      </c>
      <c r="I79" s="6">
        <v>44328</v>
      </c>
      <c r="J79" s="14" t="str">
        <f>IF(AND(B79="Jsy",C79="EF"),"Attention!","")</f>
        <v/>
      </c>
      <c r="K79" s="7" t="str">
        <f>IF(OR(E79="No",F79="No",G79="No"),"Chase","")</f>
        <v>Chase</v>
      </c>
      <c r="L79" s="1" t="str">
        <f>IF(AND(C79="EF",D79="Moore"),"Review","")</f>
        <v/>
      </c>
      <c r="M79" s="1" t="str">
        <f>IF(OR(B79="Jsy",H79="&gt;10000"),"Priority","")</f>
        <v>Priority</v>
      </c>
      <c r="N79" s="1" t="str">
        <f>IF(AND(E79="Yes",F79="Yes",G79="Yes"),"Completed","")</f>
        <v/>
      </c>
      <c r="O79" s="1" t="str">
        <f ca="1">IF(AND(B79="Jsy",I79&lt;=TODAY()),"Overdue","")</f>
        <v>Overdue</v>
      </c>
    </row>
    <row r="80" spans="1:15">
      <c r="A80" s="4" t="s">
        <v>106</v>
      </c>
      <c r="B80" s="1" t="s">
        <v>107</v>
      </c>
      <c r="C80" s="1" t="s">
        <v>108</v>
      </c>
      <c r="D80" s="1" t="s">
        <v>128</v>
      </c>
      <c r="E80" s="1" t="s">
        <v>103</v>
      </c>
      <c r="F80" s="1" t="s">
        <v>104</v>
      </c>
      <c r="G80" s="1" t="s">
        <v>105</v>
      </c>
      <c r="H80" s="5">
        <v>59462.5</v>
      </c>
      <c r="I80" s="6">
        <v>44289</v>
      </c>
      <c r="J80" s="14" t="str">
        <f>IF(AND(B80="Jsy",C80="EF"),"Attention!","")</f>
        <v/>
      </c>
      <c r="K80" s="7" t="str">
        <f>IF(OR(E80="No",F80="No",G80="No"),"Chase","")</f>
        <v>Chase</v>
      </c>
      <c r="L80" s="1" t="str">
        <f>IF(AND(C80="EF",D80="Moore"),"Review","")</f>
        <v/>
      </c>
      <c r="M80" s="1" t="str">
        <f>IF(OR(B80="Jsy",H80="&gt;10000"),"Priority","")</f>
        <v>Priority</v>
      </c>
      <c r="N80" s="1" t="str">
        <f>IF(AND(E80="Yes",F80="Yes",G80="Yes"),"Completed","")</f>
        <v/>
      </c>
      <c r="O80" s="1" t="str">
        <f ca="1">IF(AND(B80="Jsy",I80&lt;=TODAY()),"Overdue","")</f>
        <v>Overdue</v>
      </c>
    </row>
    <row r="81" spans="1:15">
      <c r="A81" s="4" t="s">
        <v>106</v>
      </c>
      <c r="B81" s="1" t="s">
        <v>107</v>
      </c>
      <c r="C81" s="1" t="s">
        <v>108</v>
      </c>
      <c r="D81" s="1" t="s">
        <v>128</v>
      </c>
      <c r="E81" s="1" t="s">
        <v>103</v>
      </c>
      <c r="F81" s="1" t="s">
        <v>104</v>
      </c>
      <c r="G81" s="1" t="s">
        <v>105</v>
      </c>
      <c r="H81" s="5">
        <v>59644</v>
      </c>
      <c r="I81" s="6">
        <v>44373</v>
      </c>
      <c r="J81" s="14" t="str">
        <f>IF(AND(B81="Jsy",C81="EF"),"Attention!","")</f>
        <v/>
      </c>
      <c r="K81" s="7" t="str">
        <f>IF(OR(E81="No",F81="No",G81="No"),"Chase","")</f>
        <v>Chase</v>
      </c>
      <c r="L81" s="1" t="str">
        <f>IF(AND(C81="EF",D81="Moore"),"Review","")</f>
        <v/>
      </c>
      <c r="M81" s="1" t="str">
        <f>IF(OR(B81="Jsy",H81="&gt;10000"),"Priority","")</f>
        <v>Priority</v>
      </c>
      <c r="N81" s="1" t="str">
        <f>IF(AND(E81="Yes",F81="Yes",G81="Yes"),"Completed","")</f>
        <v/>
      </c>
      <c r="O81" s="1" t="str">
        <f ca="1">IF(AND(B81="Jsy",I81&lt;=TODAY()),"Overdue","")</f>
        <v>Overdue</v>
      </c>
    </row>
    <row r="82" spans="1:15">
      <c r="A82" s="4" t="s">
        <v>106</v>
      </c>
      <c r="B82" s="1" t="s">
        <v>107</v>
      </c>
      <c r="C82" s="1" t="s">
        <v>108</v>
      </c>
      <c r="D82" s="1" t="s">
        <v>128</v>
      </c>
      <c r="E82" s="1" t="s">
        <v>103</v>
      </c>
      <c r="F82" s="1" t="s">
        <v>104</v>
      </c>
      <c r="G82" s="1" t="s">
        <v>105</v>
      </c>
      <c r="H82" s="5">
        <v>65070</v>
      </c>
      <c r="I82" s="6">
        <v>44341</v>
      </c>
      <c r="J82" s="14" t="str">
        <f>IF(AND(B82="Jsy",C82="EF"),"Attention!","")</f>
        <v/>
      </c>
      <c r="K82" s="7" t="str">
        <f>IF(OR(E82="No",F82="No",G82="No"),"Chase","")</f>
        <v>Chase</v>
      </c>
      <c r="L82" s="1" t="str">
        <f>IF(AND(C82="EF",D82="Moore"),"Review","")</f>
        <v/>
      </c>
      <c r="M82" s="1" t="str">
        <f>IF(OR(B82="Jsy",H82="&gt;10000"),"Priority","")</f>
        <v>Priority</v>
      </c>
      <c r="N82" s="1" t="str">
        <f>IF(AND(E82="Yes",F82="Yes",G82="Yes"),"Completed","")</f>
        <v/>
      </c>
      <c r="O82" s="1" t="str">
        <f ca="1">IF(AND(B82="Jsy",I82&lt;=TODAY()),"Overdue","")</f>
        <v>Overdue</v>
      </c>
    </row>
    <row r="83" spans="1:15">
      <c r="A83" s="4" t="s">
        <v>109</v>
      </c>
      <c r="B83" s="1" t="s">
        <v>107</v>
      </c>
      <c r="C83" s="1" t="s">
        <v>112</v>
      </c>
      <c r="D83" s="1" t="s">
        <v>128</v>
      </c>
      <c r="E83" s="1" t="s">
        <v>103</v>
      </c>
      <c r="F83" s="1" t="s">
        <v>105</v>
      </c>
      <c r="G83" s="1" t="s">
        <v>105</v>
      </c>
      <c r="H83" s="5">
        <v>78878</v>
      </c>
      <c r="I83" s="6">
        <f ca="1">TODAY()+55</f>
        <v>45425</v>
      </c>
      <c r="J83" s="14" t="str">
        <f>IF(AND(B83="Jsy",C83="EF"),"Attention!","")</f>
        <v/>
      </c>
      <c r="K83" s="7" t="str">
        <f>IF(OR(E83="No",F83="No",G83="No"),"Chase","")</f>
        <v>Chase</v>
      </c>
      <c r="L83" s="1" t="str">
        <f>IF(AND(C83="EF",D83="Moore"),"Review","")</f>
        <v/>
      </c>
      <c r="M83" s="1" t="str">
        <f>IF(OR(B83="Jsy",H83="&gt;10000"),"Priority","")</f>
        <v>Priority</v>
      </c>
      <c r="N83" s="1" t="str">
        <f>IF(AND(E83="Yes",F83="Yes",G83="Yes"),"Completed","")</f>
        <v/>
      </c>
      <c r="O83" s="1" t="str">
        <f ca="1">IF(AND(B83="Jsy",I83&lt;=TODAY()),"Overdue","")</f>
        <v/>
      </c>
    </row>
    <row r="84" spans="1:15">
      <c r="A84" s="4" t="s">
        <v>106</v>
      </c>
      <c r="B84" s="1" t="s">
        <v>107</v>
      </c>
      <c r="C84" s="1" t="s">
        <v>114</v>
      </c>
      <c r="D84" s="1" t="s">
        <v>129</v>
      </c>
      <c r="E84" s="1" t="s">
        <v>103</v>
      </c>
      <c r="F84" s="1" t="s">
        <v>104</v>
      </c>
      <c r="G84" s="1" t="s">
        <v>105</v>
      </c>
      <c r="H84" s="5">
        <v>8690</v>
      </c>
      <c r="I84" s="6">
        <v>44305</v>
      </c>
      <c r="J84" s="14" t="str">
        <f>IF(AND(B84="Jsy",C84="EF"),"Attention!","")</f>
        <v>Attention!</v>
      </c>
      <c r="K84" s="7" t="str">
        <f>IF(OR(E84="No",F84="No",G84="No"),"Chase","")</f>
        <v>Chase</v>
      </c>
      <c r="L84" s="1" t="str">
        <f>IF(AND(C84="EF",D84="Moore"),"Review","")</f>
        <v>Review</v>
      </c>
      <c r="M84" s="1" t="str">
        <f>IF(OR(B84="Jsy",H84="&gt;10000"),"Priority","")</f>
        <v>Priority</v>
      </c>
      <c r="N84" s="1" t="str">
        <f>IF(AND(E84="Yes",F84="Yes",G84="Yes"),"Completed","")</f>
        <v/>
      </c>
      <c r="O84" s="1" t="str">
        <f ca="1">IF(AND(B84="Jsy",I84&lt;=TODAY()),"Overdue","")</f>
        <v>Overdue</v>
      </c>
    </row>
    <row r="85" spans="1:15">
      <c r="A85" s="4" t="s">
        <v>109</v>
      </c>
      <c r="B85" s="1" t="s">
        <v>107</v>
      </c>
      <c r="C85" s="1" t="s">
        <v>114</v>
      </c>
      <c r="D85" s="1" t="s">
        <v>129</v>
      </c>
      <c r="E85" s="1" t="s">
        <v>105</v>
      </c>
      <c r="F85" s="1" t="s">
        <v>105</v>
      </c>
      <c r="G85" s="1" t="s">
        <v>105</v>
      </c>
      <c r="H85" s="5">
        <v>8915</v>
      </c>
      <c r="I85" s="6">
        <v>44625</v>
      </c>
      <c r="J85" s="14" t="str">
        <f>IF(AND(B85="Jsy",C85="EF"),"Attention!","")</f>
        <v>Attention!</v>
      </c>
      <c r="K85" s="7" t="str">
        <f>IF(OR(E85="No",F85="No",G85="No"),"Chase","")</f>
        <v>Chase</v>
      </c>
      <c r="L85" s="1" t="str">
        <f>IF(AND(C85="EF",D85="Moore"),"Review","")</f>
        <v>Review</v>
      </c>
      <c r="M85" s="1" t="str">
        <f>IF(OR(B85="Jsy",H85="&gt;10000"),"Priority","")</f>
        <v>Priority</v>
      </c>
      <c r="N85" s="1" t="str">
        <f>IF(AND(E85="Yes",F85="Yes",G85="Yes"),"Completed","")</f>
        <v/>
      </c>
      <c r="O85" s="1" t="str">
        <f ca="1">IF(AND(B85="Jsy",I85&lt;=TODAY()),"Overdue","")</f>
        <v>Overdue</v>
      </c>
    </row>
    <row r="86" spans="1:15">
      <c r="A86" s="4" t="s">
        <v>109</v>
      </c>
      <c r="B86" s="1" t="s">
        <v>107</v>
      </c>
      <c r="C86" s="1" t="s">
        <v>114</v>
      </c>
      <c r="D86" s="1" t="s">
        <v>129</v>
      </c>
      <c r="E86" s="1" t="s">
        <v>103</v>
      </c>
      <c r="F86" s="1" t="s">
        <v>105</v>
      </c>
      <c r="G86" s="1" t="s">
        <v>105</v>
      </c>
      <c r="H86" s="5">
        <v>9000</v>
      </c>
      <c r="I86" s="6">
        <v>44693</v>
      </c>
      <c r="J86" s="14" t="str">
        <f>IF(AND(B86="Jsy",C86="EF"),"Attention!","")</f>
        <v>Attention!</v>
      </c>
      <c r="K86" s="7" t="str">
        <f>IF(OR(E86="No",F86="No",G86="No"),"Chase","")</f>
        <v>Chase</v>
      </c>
      <c r="L86" s="1" t="str">
        <f>IF(AND(C86="EF",D86="Moore"),"Review","")</f>
        <v>Review</v>
      </c>
      <c r="M86" s="1" t="str">
        <f>IF(OR(B86="Jsy",H86="&gt;10000"),"Priority","")</f>
        <v>Priority</v>
      </c>
      <c r="N86" s="1" t="str">
        <f>IF(AND(E86="Yes",F86="Yes",G86="Yes"),"Completed","")</f>
        <v/>
      </c>
      <c r="O86" s="1" t="str">
        <f ca="1">IF(AND(B86="Jsy",I86&lt;=TODAY()),"Overdue","")</f>
        <v>Overdue</v>
      </c>
    </row>
    <row r="87" spans="1:15">
      <c r="A87" s="4" t="s">
        <v>100</v>
      </c>
      <c r="B87" s="1" t="s">
        <v>101</v>
      </c>
      <c r="C87" s="1" t="s">
        <v>130</v>
      </c>
      <c r="D87" s="1" t="s">
        <v>129</v>
      </c>
      <c r="E87" s="1" t="s">
        <v>103</v>
      </c>
      <c r="F87" s="1" t="s">
        <v>104</v>
      </c>
      <c r="G87" s="1" t="s">
        <v>103</v>
      </c>
      <c r="H87" s="5">
        <v>9128.5</v>
      </c>
      <c r="I87" s="6">
        <v>44261</v>
      </c>
      <c r="J87" s="14" t="str">
        <f>IF(AND(B87="Jsy",C87="EF"),"Attention!","")</f>
        <v/>
      </c>
      <c r="K87" s="7" t="str">
        <f>IF(OR(E87="No",F87="No",G87="No"),"Chase","")</f>
        <v/>
      </c>
      <c r="L87" s="1" t="str">
        <f>IF(AND(C87="EF",D87="Moore"),"Review","")</f>
        <v/>
      </c>
      <c r="M87" s="1" t="str">
        <f>IF(OR(B87="Jsy",H87="&gt;10000"),"Priority","")</f>
        <v/>
      </c>
      <c r="N87" s="1" t="str">
        <f>IF(AND(E87="Yes",F87="Yes",G87="Yes"),"Completed","")</f>
        <v>Completed</v>
      </c>
      <c r="O87" s="1" t="str">
        <f ca="1">IF(AND(B87="Jsy",I87&lt;=TODAY()),"Overdue","")</f>
        <v/>
      </c>
    </row>
    <row r="88" spans="1:15">
      <c r="A88" s="4" t="s">
        <v>100</v>
      </c>
      <c r="B88" s="1" t="s">
        <v>101</v>
      </c>
      <c r="C88" s="1" t="s">
        <v>130</v>
      </c>
      <c r="D88" s="1" t="s">
        <v>129</v>
      </c>
      <c r="E88" s="1" t="s">
        <v>103</v>
      </c>
      <c r="F88" s="1" t="s">
        <v>104</v>
      </c>
      <c r="G88" s="1" t="s">
        <v>103</v>
      </c>
      <c r="H88" s="5">
        <v>9436.25</v>
      </c>
      <c r="I88" s="6">
        <v>44318</v>
      </c>
      <c r="J88" s="14" t="str">
        <f>IF(AND(B88="Jsy",C88="EF"),"Attention!","")</f>
        <v/>
      </c>
      <c r="K88" s="7" t="str">
        <f>IF(OR(E88="No",F88="No",G88="No"),"Chase","")</f>
        <v/>
      </c>
      <c r="L88" s="1" t="str">
        <f>IF(AND(C88="EF",D88="Moore"),"Review","")</f>
        <v/>
      </c>
      <c r="M88" s="1" t="str">
        <f>IF(OR(B88="Jsy",H88="&gt;10000"),"Priority","")</f>
        <v/>
      </c>
      <c r="N88" s="1" t="str">
        <f>IF(AND(E88="Yes",F88="Yes",G88="Yes"),"Completed","")</f>
        <v>Completed</v>
      </c>
      <c r="O88" s="1" t="str">
        <f ca="1">IF(AND(B88="Jsy",I88&lt;=TODAY()),"Overdue","")</f>
        <v/>
      </c>
    </row>
    <row r="89" spans="1:15">
      <c r="A89" s="4" t="s">
        <v>106</v>
      </c>
      <c r="B89" s="1" t="s">
        <v>101</v>
      </c>
      <c r="C89" s="1" t="s">
        <v>130</v>
      </c>
      <c r="D89" s="1" t="s">
        <v>129</v>
      </c>
      <c r="E89" s="1" t="s">
        <v>103</v>
      </c>
      <c r="F89" s="1" t="s">
        <v>104</v>
      </c>
      <c r="G89" s="1" t="s">
        <v>105</v>
      </c>
      <c r="H89" s="5">
        <v>9820</v>
      </c>
      <c r="I89" s="6">
        <v>44325</v>
      </c>
      <c r="J89" s="14" t="str">
        <f>IF(AND(B89="Jsy",C89="EF"),"Attention!","")</f>
        <v/>
      </c>
      <c r="K89" s="7" t="str">
        <f>IF(OR(E89="No",F89="No",G89="No"),"Chase","")</f>
        <v>Chase</v>
      </c>
      <c r="L89" s="1" t="str">
        <f>IF(AND(C89="EF",D89="Moore"),"Review","")</f>
        <v/>
      </c>
      <c r="M89" s="1" t="str">
        <f>IF(OR(B89="Jsy",H89="&gt;10000"),"Priority","")</f>
        <v/>
      </c>
      <c r="N89" s="1" t="str">
        <f>IF(AND(E89="Yes",F89="Yes",G89="Yes"),"Completed","")</f>
        <v/>
      </c>
      <c r="O89" s="1" t="str">
        <f ca="1">IF(AND(B89="Jsy",I89&lt;=TODAY()),"Overdue","")</f>
        <v/>
      </c>
    </row>
    <row r="90" spans="1:15">
      <c r="A90" s="4" t="s">
        <v>100</v>
      </c>
      <c r="B90" s="1" t="s">
        <v>107</v>
      </c>
      <c r="C90" s="1" t="s">
        <v>114</v>
      </c>
      <c r="D90" s="1" t="s">
        <v>129</v>
      </c>
      <c r="E90" s="1" t="s">
        <v>103</v>
      </c>
      <c r="F90" s="1" t="s">
        <v>104</v>
      </c>
      <c r="G90" s="1" t="s">
        <v>103</v>
      </c>
      <c r="H90" s="5">
        <v>9865</v>
      </c>
      <c r="I90" s="6">
        <f ca="1">TODAY()+45</f>
        <v>45415</v>
      </c>
      <c r="J90" s="14" t="str">
        <f>IF(AND(B90="Jsy",C90="EF"),"Attention!","")</f>
        <v>Attention!</v>
      </c>
      <c r="K90" s="7" t="str">
        <f>IF(OR(E90="No",F90="No",G90="No"),"Chase","")</f>
        <v/>
      </c>
      <c r="L90" s="1" t="str">
        <f>IF(AND(C90="EF",D90="Moore"),"Review","")</f>
        <v>Review</v>
      </c>
      <c r="M90" s="1" t="str">
        <f>IF(OR(B90="Jsy",H90="&gt;10000"),"Priority","")</f>
        <v>Priority</v>
      </c>
      <c r="N90" s="1" t="str">
        <f>IF(AND(E90="Yes",F90="Yes",G90="Yes"),"Completed","")</f>
        <v>Completed</v>
      </c>
      <c r="O90" s="1" t="str">
        <f ca="1">IF(AND(B90="Jsy",I90&lt;=TODAY()),"Overdue","")</f>
        <v/>
      </c>
    </row>
    <row r="91" spans="1:15">
      <c r="A91" s="4" t="s">
        <v>100</v>
      </c>
      <c r="B91" s="1" t="s">
        <v>101</v>
      </c>
      <c r="C91" s="1" t="s">
        <v>130</v>
      </c>
      <c r="D91" s="1" t="s">
        <v>129</v>
      </c>
      <c r="E91" s="1" t="s">
        <v>103</v>
      </c>
      <c r="F91" s="1" t="s">
        <v>104</v>
      </c>
      <c r="G91" s="1" t="s">
        <v>103</v>
      </c>
      <c r="H91" s="5">
        <v>10142</v>
      </c>
      <c r="I91" s="6">
        <f ca="1">TODAY()+14</f>
        <v>45384</v>
      </c>
      <c r="J91" s="14" t="str">
        <f>IF(AND(B91="Jsy",C91="EF"),"Attention!","")</f>
        <v/>
      </c>
      <c r="K91" s="7" t="str">
        <f>IF(OR(E91="No",F91="No",G91="No"),"Chase","")</f>
        <v/>
      </c>
      <c r="L91" s="1" t="str">
        <f>IF(AND(C91="EF",D91="Moore"),"Review","")</f>
        <v/>
      </c>
      <c r="M91" s="1" t="str">
        <f>IF(OR(B91="Jsy",H91="&gt;10000"),"Priority","")</f>
        <v/>
      </c>
      <c r="N91" s="1" t="str">
        <f>IF(AND(E91="Yes",F91="Yes",G91="Yes"),"Completed","")</f>
        <v>Completed</v>
      </c>
      <c r="O91" s="1" t="str">
        <f ca="1">IF(AND(B91="Jsy",I91&lt;=TODAY()),"Overdue","")</f>
        <v/>
      </c>
    </row>
    <row r="92" spans="1:15">
      <c r="A92" s="4" t="s">
        <v>100</v>
      </c>
      <c r="B92" s="1" t="s">
        <v>101</v>
      </c>
      <c r="C92" s="1" t="s">
        <v>130</v>
      </c>
      <c r="D92" s="1" t="s">
        <v>129</v>
      </c>
      <c r="E92" s="1" t="s">
        <v>103</v>
      </c>
      <c r="F92" s="1" t="s">
        <v>104</v>
      </c>
      <c r="G92" s="1" t="s">
        <v>103</v>
      </c>
      <c r="H92" s="5">
        <v>10225</v>
      </c>
      <c r="I92" s="6">
        <v>44332</v>
      </c>
      <c r="J92" s="14" t="str">
        <f>IF(AND(B92="Jsy",C92="EF"),"Attention!","")</f>
        <v/>
      </c>
      <c r="K92" s="7" t="str">
        <f>IF(OR(E92="No",F92="No",G92="No"),"Chase","")</f>
        <v/>
      </c>
      <c r="L92" s="1" t="str">
        <f>IF(AND(C92="EF",D92="Moore"),"Review","")</f>
        <v/>
      </c>
      <c r="M92" s="1" t="str">
        <f>IF(OR(B92="Jsy",H92="&gt;10000"),"Priority","")</f>
        <v/>
      </c>
      <c r="N92" s="1" t="str">
        <f>IF(AND(E92="Yes",F92="Yes",G92="Yes"),"Completed","")</f>
        <v>Completed</v>
      </c>
      <c r="O92" s="1" t="str">
        <f ca="1">IF(AND(B92="Jsy",I92&lt;=TODAY()),"Overdue","")</f>
        <v/>
      </c>
    </row>
    <row r="93" spans="1:15">
      <c r="A93" s="4" t="s">
        <v>100</v>
      </c>
      <c r="B93" s="1" t="s">
        <v>101</v>
      </c>
      <c r="C93" s="1" t="s">
        <v>130</v>
      </c>
      <c r="D93" s="1" t="s">
        <v>129</v>
      </c>
      <c r="E93" s="1" t="s">
        <v>103</v>
      </c>
      <c r="F93" s="1" t="s">
        <v>104</v>
      </c>
      <c r="G93" s="1" t="s">
        <v>103</v>
      </c>
      <c r="H93" s="5">
        <v>10425</v>
      </c>
      <c r="I93" s="6">
        <f ca="1">TODAY()+20</f>
        <v>45390</v>
      </c>
      <c r="J93" s="14" t="str">
        <f>IF(AND(B93="Jsy",C93="EF"),"Attention!","")</f>
        <v/>
      </c>
      <c r="K93" s="7" t="str">
        <f>IF(OR(E93="No",F93="No",G93="No"),"Chase","")</f>
        <v/>
      </c>
      <c r="L93" s="1" t="str">
        <f>IF(AND(C93="EF",D93="Moore"),"Review","")</f>
        <v/>
      </c>
      <c r="M93" s="1" t="str">
        <f>IF(OR(B93="Jsy",H93="&gt;10000"),"Priority","")</f>
        <v/>
      </c>
      <c r="N93" s="1" t="str">
        <f>IF(AND(E93="Yes",F93="Yes",G93="Yes"),"Completed","")</f>
        <v>Completed</v>
      </c>
      <c r="O93" s="1" t="str">
        <f ca="1">IF(AND(B93="Jsy",I93&lt;=TODAY()),"Overdue","")</f>
        <v/>
      </c>
    </row>
    <row r="94" spans="1:15">
      <c r="A94" s="4" t="s">
        <v>106</v>
      </c>
      <c r="B94" s="1" t="s">
        <v>107</v>
      </c>
      <c r="C94" s="1" t="s">
        <v>114</v>
      </c>
      <c r="D94" s="1" t="s">
        <v>129</v>
      </c>
      <c r="E94" s="1" t="s">
        <v>103</v>
      </c>
      <c r="F94" s="1" t="s">
        <v>104</v>
      </c>
      <c r="G94" s="1" t="s">
        <v>105</v>
      </c>
      <c r="H94" s="5">
        <v>10491.49</v>
      </c>
      <c r="I94" s="6">
        <v>44314</v>
      </c>
      <c r="J94" s="14" t="str">
        <f>IF(AND(B94="Jsy",C94="EF"),"Attention!","")</f>
        <v>Attention!</v>
      </c>
      <c r="K94" s="7" t="str">
        <f>IF(OR(E94="No",F94="No",G94="No"),"Chase","")</f>
        <v>Chase</v>
      </c>
      <c r="L94" s="1" t="str">
        <f>IF(AND(C94="EF",D94="Moore"),"Review","")</f>
        <v>Review</v>
      </c>
      <c r="M94" s="1" t="str">
        <f>IF(OR(B94="Jsy",H94="&gt;10000"),"Priority","")</f>
        <v>Priority</v>
      </c>
      <c r="N94" s="1" t="str">
        <f>IF(AND(E94="Yes",F94="Yes",G94="Yes"),"Completed","")</f>
        <v/>
      </c>
      <c r="O94" s="1" t="str">
        <f ca="1">IF(AND(B94="Jsy",I94&lt;=TODAY()),"Overdue","")</f>
        <v>Overdue</v>
      </c>
    </row>
    <row r="95" spans="1:15">
      <c r="A95" s="4" t="s">
        <v>109</v>
      </c>
      <c r="B95" s="1" t="s">
        <v>101</v>
      </c>
      <c r="C95" s="1" t="s">
        <v>130</v>
      </c>
      <c r="D95" s="1" t="s">
        <v>129</v>
      </c>
      <c r="E95" s="1" t="s">
        <v>103</v>
      </c>
      <c r="F95" s="1" t="s">
        <v>105</v>
      </c>
      <c r="G95" s="1" t="s">
        <v>105</v>
      </c>
      <c r="H95" s="5">
        <v>10651.5</v>
      </c>
      <c r="I95" s="6">
        <v>44714</v>
      </c>
      <c r="J95" s="14" t="str">
        <f>IF(AND(B95="Jsy",C95="EF"),"Attention!","")</f>
        <v/>
      </c>
      <c r="K95" s="7" t="str">
        <f>IF(OR(E95="No",F95="No",G95="No"),"Chase","")</f>
        <v>Chase</v>
      </c>
      <c r="L95" s="1" t="str">
        <f>IF(AND(C95="EF",D95="Moore"),"Review","")</f>
        <v/>
      </c>
      <c r="M95" s="1" t="str">
        <f>IF(OR(B95="Jsy",H95="&gt;10000"),"Priority","")</f>
        <v/>
      </c>
      <c r="N95" s="1" t="str">
        <f>IF(AND(E95="Yes",F95="Yes",G95="Yes"),"Completed","")</f>
        <v/>
      </c>
      <c r="O95" s="1" t="str">
        <f ca="1">IF(AND(B95="Jsy",I95&lt;=TODAY()),"Overdue","")</f>
        <v/>
      </c>
    </row>
    <row r="96" spans="1:15">
      <c r="A96" s="4" t="s">
        <v>100</v>
      </c>
      <c r="B96" s="1" t="s">
        <v>107</v>
      </c>
      <c r="C96" s="1" t="s">
        <v>114</v>
      </c>
      <c r="D96" s="1" t="s">
        <v>129</v>
      </c>
      <c r="E96" s="1" t="s">
        <v>103</v>
      </c>
      <c r="F96" s="1" t="s">
        <v>104</v>
      </c>
      <c r="G96" s="1" t="s">
        <v>103</v>
      </c>
      <c r="H96" s="5">
        <v>10653</v>
      </c>
      <c r="I96" s="6">
        <f ca="1">TODAY()+45</f>
        <v>45415</v>
      </c>
      <c r="J96" s="14" t="str">
        <f>IF(AND(B96="Jsy",C96="EF"),"Attention!","")</f>
        <v>Attention!</v>
      </c>
      <c r="K96" s="7" t="str">
        <f>IF(OR(E96="No",F96="No",G96="No"),"Chase","")</f>
        <v/>
      </c>
      <c r="L96" s="1" t="str">
        <f>IF(AND(C96="EF",D96="Moore"),"Review","")</f>
        <v>Review</v>
      </c>
      <c r="M96" s="1" t="str">
        <f>IF(OR(B96="Jsy",H96="&gt;10000"),"Priority","")</f>
        <v>Priority</v>
      </c>
      <c r="N96" s="1" t="str">
        <f>IF(AND(E96="Yes",F96="Yes",G96="Yes"),"Completed","")</f>
        <v>Completed</v>
      </c>
      <c r="O96" s="1" t="str">
        <f ca="1">IF(AND(B96="Jsy",I96&lt;=TODAY()),"Overdue","")</f>
        <v/>
      </c>
    </row>
    <row r="97" spans="1:15">
      <c r="A97" s="4" t="s">
        <v>109</v>
      </c>
      <c r="B97" s="1" t="s">
        <v>101</v>
      </c>
      <c r="C97" s="1" t="s">
        <v>130</v>
      </c>
      <c r="D97" s="1" t="s">
        <v>129</v>
      </c>
      <c r="E97" s="1" t="s">
        <v>103</v>
      </c>
      <c r="F97" s="1" t="s">
        <v>105</v>
      </c>
      <c r="G97" s="1" t="s">
        <v>105</v>
      </c>
      <c r="H97" s="5">
        <v>11351.5</v>
      </c>
      <c r="I97" s="6">
        <v>44624</v>
      </c>
      <c r="J97" s="14" t="str">
        <f>IF(AND(B97="Jsy",C97="EF"),"Attention!","")</f>
        <v/>
      </c>
      <c r="K97" s="7" t="str">
        <f>IF(OR(E97="No",F97="No",G97="No"),"Chase","")</f>
        <v>Chase</v>
      </c>
      <c r="L97" s="1" t="str">
        <f>IF(AND(C97="EF",D97="Moore"),"Review","")</f>
        <v/>
      </c>
      <c r="M97" s="1" t="str">
        <f>IF(OR(B97="Jsy",H97="&gt;10000"),"Priority","")</f>
        <v/>
      </c>
      <c r="N97" s="1" t="str">
        <f>IF(AND(E97="Yes",F97="Yes",G97="Yes"),"Completed","")</f>
        <v/>
      </c>
      <c r="O97" s="1" t="str">
        <f ca="1">IF(AND(B97="Jsy",I97&lt;=TODAY()),"Overdue","")</f>
        <v/>
      </c>
    </row>
    <row r="98" spans="1:15">
      <c r="A98" s="4" t="s">
        <v>109</v>
      </c>
      <c r="B98" s="1" t="s">
        <v>101</v>
      </c>
      <c r="C98" s="1" t="s">
        <v>120</v>
      </c>
      <c r="D98" s="1" t="s">
        <v>129</v>
      </c>
      <c r="E98" s="1" t="s">
        <v>105</v>
      </c>
      <c r="F98" s="1" t="s">
        <v>105</v>
      </c>
      <c r="G98" s="1" t="s">
        <v>105</v>
      </c>
      <c r="H98" s="5">
        <v>11605.5</v>
      </c>
      <c r="I98" s="6">
        <v>44630</v>
      </c>
      <c r="J98" s="14" t="str">
        <f>IF(AND(B98="Jsy",C98="EF"),"Attention!","")</f>
        <v/>
      </c>
      <c r="K98" s="7" t="str">
        <f>IF(OR(E98="No",F98="No",G98="No"),"Chase","")</f>
        <v>Chase</v>
      </c>
      <c r="L98" s="1" t="str">
        <f>IF(AND(C98="EF",D98="Moore"),"Review","")</f>
        <v/>
      </c>
      <c r="M98" s="1" t="str">
        <f>IF(OR(B98="Jsy",H98="&gt;10000"),"Priority","")</f>
        <v/>
      </c>
      <c r="N98" s="1" t="str">
        <f>IF(AND(E98="Yes",F98="Yes",G98="Yes"),"Completed","")</f>
        <v/>
      </c>
      <c r="O98" s="1" t="str">
        <f ca="1">IF(AND(B98="Jsy",I98&lt;=TODAY()),"Overdue","")</f>
        <v/>
      </c>
    </row>
    <row r="99" spans="1:15">
      <c r="A99" s="4" t="s">
        <v>100</v>
      </c>
      <c r="B99" s="1" t="s">
        <v>107</v>
      </c>
      <c r="C99" s="1" t="s">
        <v>114</v>
      </c>
      <c r="D99" s="1" t="s">
        <v>129</v>
      </c>
      <c r="E99" s="1" t="s">
        <v>103</v>
      </c>
      <c r="F99" s="1" t="s">
        <v>104</v>
      </c>
      <c r="G99" s="1" t="s">
        <v>103</v>
      </c>
      <c r="H99" s="5">
        <v>12035.5</v>
      </c>
      <c r="I99" s="6">
        <f ca="1">TODAY()+15</f>
        <v>45385</v>
      </c>
      <c r="J99" s="14" t="str">
        <f>IF(AND(B99="Jsy",C99="EF"),"Attention!","")</f>
        <v>Attention!</v>
      </c>
      <c r="K99" s="7" t="str">
        <f>IF(OR(E99="No",F99="No",G99="No"),"Chase","")</f>
        <v/>
      </c>
      <c r="L99" s="1" t="str">
        <f>IF(AND(C99="EF",D99="Moore"),"Review","")</f>
        <v>Review</v>
      </c>
      <c r="M99" s="1" t="str">
        <f>IF(OR(B99="Jsy",H99="&gt;10000"),"Priority","")</f>
        <v>Priority</v>
      </c>
      <c r="N99" s="1" t="str">
        <f>IF(AND(E99="Yes",F99="Yes",G99="Yes"),"Completed","")</f>
        <v>Completed</v>
      </c>
      <c r="O99" s="1" t="str">
        <f ca="1">IF(AND(B99="Jsy",I99&lt;=TODAY()),"Overdue","")</f>
        <v/>
      </c>
    </row>
    <row r="100" spans="1:15">
      <c r="A100" s="4" t="s">
        <v>109</v>
      </c>
      <c r="B100" s="1" t="s">
        <v>107</v>
      </c>
      <c r="C100" s="1" t="s">
        <v>114</v>
      </c>
      <c r="D100" s="1" t="s">
        <v>129</v>
      </c>
      <c r="E100" s="1" t="s">
        <v>103</v>
      </c>
      <c r="F100" s="1" t="s">
        <v>105</v>
      </c>
      <c r="G100" s="1" t="s">
        <v>105</v>
      </c>
      <c r="H100" s="5">
        <v>12250</v>
      </c>
      <c r="I100" s="6">
        <v>44660</v>
      </c>
      <c r="J100" s="14" t="str">
        <f>IF(AND(B100="Jsy",C100="EF"),"Attention!","")</f>
        <v>Attention!</v>
      </c>
      <c r="K100" s="7" t="str">
        <f>IF(OR(E100="No",F100="No",G100="No"),"Chase","")</f>
        <v>Chase</v>
      </c>
      <c r="L100" s="1" t="str">
        <f>IF(AND(C100="EF",D100="Moore"),"Review","")</f>
        <v>Review</v>
      </c>
      <c r="M100" s="1" t="str">
        <f>IF(OR(B100="Jsy",H100="&gt;10000"),"Priority","")</f>
        <v>Priority</v>
      </c>
      <c r="N100" s="1" t="str">
        <f>IF(AND(E100="Yes",F100="Yes",G100="Yes"),"Completed","")</f>
        <v/>
      </c>
      <c r="O100" s="1" t="str">
        <f ca="1">IF(AND(B100="Jsy",I100&lt;=TODAY()),"Overdue","")</f>
        <v>Overdue</v>
      </c>
    </row>
    <row r="101" spans="1:15">
      <c r="A101" s="4" t="s">
        <v>109</v>
      </c>
      <c r="B101" s="1" t="s">
        <v>107</v>
      </c>
      <c r="C101" s="1" t="s">
        <v>114</v>
      </c>
      <c r="D101" s="1" t="s">
        <v>129</v>
      </c>
      <c r="E101" s="1" t="s">
        <v>103</v>
      </c>
      <c r="F101" s="1" t="s">
        <v>105</v>
      </c>
      <c r="G101" s="1" t="s">
        <v>105</v>
      </c>
      <c r="H101" s="5">
        <v>12250</v>
      </c>
      <c r="I101" s="6">
        <v>44631</v>
      </c>
      <c r="J101" s="14" t="str">
        <f>IF(AND(B101="Jsy",C101="EF"),"Attention!","")</f>
        <v>Attention!</v>
      </c>
      <c r="K101" s="7" t="str">
        <f>IF(OR(E101="No",F101="No",G101="No"),"Chase","")</f>
        <v>Chase</v>
      </c>
      <c r="L101" s="1" t="str">
        <f>IF(AND(C101="EF",D101="Moore"),"Review","")</f>
        <v>Review</v>
      </c>
      <c r="M101" s="1" t="str">
        <f>IF(OR(B101="Jsy",H101="&gt;10000"),"Priority","")</f>
        <v>Priority</v>
      </c>
      <c r="N101" s="1" t="str">
        <f>IF(AND(E101="Yes",F101="Yes",G101="Yes"),"Completed","")</f>
        <v/>
      </c>
      <c r="O101" s="1" t="str">
        <f ca="1">IF(AND(B101="Jsy",I101&lt;=TODAY()),"Overdue","")</f>
        <v>Overdue</v>
      </c>
    </row>
    <row r="102" spans="1:15">
      <c r="A102" s="4" t="s">
        <v>106</v>
      </c>
      <c r="B102" s="1" t="s">
        <v>101</v>
      </c>
      <c r="C102" s="1" t="s">
        <v>130</v>
      </c>
      <c r="D102" s="1" t="s">
        <v>129</v>
      </c>
      <c r="E102" s="1" t="s">
        <v>103</v>
      </c>
      <c r="F102" s="1" t="s">
        <v>104</v>
      </c>
      <c r="G102" s="1" t="s">
        <v>105</v>
      </c>
      <c r="H102" s="5">
        <v>12346</v>
      </c>
      <c r="I102" s="6">
        <v>44363</v>
      </c>
      <c r="J102" s="14" t="str">
        <f>IF(AND(B102="Jsy",C102="EF"),"Attention!","")</f>
        <v/>
      </c>
      <c r="K102" s="7" t="str">
        <f>IF(OR(E102="No",F102="No",G102="No"),"Chase","")</f>
        <v>Chase</v>
      </c>
      <c r="L102" s="1" t="str">
        <f>IF(AND(C102="EF",D102="Moore"),"Review","")</f>
        <v/>
      </c>
      <c r="M102" s="1" t="str">
        <f>IF(OR(B102="Jsy",H102="&gt;10000"),"Priority","")</f>
        <v/>
      </c>
      <c r="N102" s="1" t="str">
        <f>IF(AND(E102="Yes",F102="Yes",G102="Yes"),"Completed","")</f>
        <v/>
      </c>
      <c r="O102" s="1" t="str">
        <f ca="1">IF(AND(B102="Jsy",I102&lt;=TODAY()),"Overdue","")</f>
        <v/>
      </c>
    </row>
    <row r="103" spans="1:15">
      <c r="A103" s="4" t="s">
        <v>109</v>
      </c>
      <c r="B103" s="1" t="s">
        <v>101</v>
      </c>
      <c r="C103" s="1" t="s">
        <v>130</v>
      </c>
      <c r="D103" s="1" t="s">
        <v>129</v>
      </c>
      <c r="E103" s="1" t="s">
        <v>103</v>
      </c>
      <c r="F103" s="1" t="s">
        <v>105</v>
      </c>
      <c r="G103" s="1" t="s">
        <v>105</v>
      </c>
      <c r="H103" s="5">
        <v>12852</v>
      </c>
      <c r="I103" s="6">
        <v>44647</v>
      </c>
      <c r="J103" s="14" t="str">
        <f>IF(AND(B103="Jsy",C103="EF"),"Attention!","")</f>
        <v/>
      </c>
      <c r="K103" s="7" t="str">
        <f>IF(OR(E103="No",F103="No",G103="No"),"Chase","")</f>
        <v>Chase</v>
      </c>
      <c r="L103" s="1" t="str">
        <f>IF(AND(C103="EF",D103="Moore"),"Review","")</f>
        <v/>
      </c>
      <c r="M103" s="1" t="str">
        <f>IF(OR(B103="Jsy",H103="&gt;10000"),"Priority","")</f>
        <v/>
      </c>
      <c r="N103" s="1" t="str">
        <f>IF(AND(E103="Yes",F103="Yes",G103="Yes"),"Completed","")</f>
        <v/>
      </c>
      <c r="O103" s="1" t="str">
        <f ca="1">IF(AND(B103="Jsy",I103&lt;=TODAY()),"Overdue","")</f>
        <v/>
      </c>
    </row>
    <row r="104" spans="1:15">
      <c r="A104" s="4" t="s">
        <v>109</v>
      </c>
      <c r="B104" s="1" t="s">
        <v>119</v>
      </c>
      <c r="C104" s="1" t="s">
        <v>120</v>
      </c>
      <c r="D104" s="1" t="s">
        <v>129</v>
      </c>
      <c r="E104" s="1" t="s">
        <v>103</v>
      </c>
      <c r="F104" s="1" t="s">
        <v>104</v>
      </c>
      <c r="G104" s="1" t="s">
        <v>105</v>
      </c>
      <c r="H104" s="5">
        <v>12921.95</v>
      </c>
      <c r="I104" s="6">
        <v>44347</v>
      </c>
      <c r="J104" s="14" t="str">
        <f>IF(AND(B104="Jsy",C104="EF"),"Attention!","")</f>
        <v/>
      </c>
      <c r="K104" s="7" t="str">
        <f>IF(OR(E104="No",F104="No",G104="No"),"Chase","")</f>
        <v>Chase</v>
      </c>
      <c r="L104" s="1" t="str">
        <f>IF(AND(C104="EF",D104="Moore"),"Review","")</f>
        <v/>
      </c>
      <c r="M104" s="1" t="str">
        <f>IF(OR(B104="Jsy",H104="&gt;10000"),"Priority","")</f>
        <v/>
      </c>
      <c r="N104" s="1" t="str">
        <f>IF(AND(E104="Yes",F104="Yes",G104="Yes"),"Completed","")</f>
        <v/>
      </c>
      <c r="O104" s="1" t="str">
        <f ca="1">IF(AND(B104="Jsy",I104&lt;=TODAY()),"Overdue","")</f>
        <v/>
      </c>
    </row>
    <row r="105" spans="1:15">
      <c r="A105" s="4" t="s">
        <v>109</v>
      </c>
      <c r="B105" s="1" t="s">
        <v>101</v>
      </c>
      <c r="C105" s="1" t="s">
        <v>130</v>
      </c>
      <c r="D105" s="1" t="s">
        <v>129</v>
      </c>
      <c r="E105" s="1" t="s">
        <v>103</v>
      </c>
      <c r="F105" s="1" t="s">
        <v>105</v>
      </c>
      <c r="G105" s="1" t="s">
        <v>105</v>
      </c>
      <c r="H105" s="5">
        <v>12981</v>
      </c>
      <c r="I105" s="6">
        <v>44637</v>
      </c>
      <c r="J105" s="14" t="str">
        <f>IF(AND(B105="Jsy",C105="EF"),"Attention!","")</f>
        <v/>
      </c>
      <c r="K105" s="7" t="str">
        <f>IF(OR(E105="No",F105="No",G105="No"),"Chase","")</f>
        <v>Chase</v>
      </c>
      <c r="L105" s="1" t="str">
        <f>IF(AND(C105="EF",D105="Moore"),"Review","")</f>
        <v/>
      </c>
      <c r="M105" s="1" t="str">
        <f>IF(OR(B105="Jsy",H105="&gt;10000"),"Priority","")</f>
        <v/>
      </c>
      <c r="N105" s="1" t="str">
        <f>IF(AND(E105="Yes",F105="Yes",G105="Yes"),"Completed","")</f>
        <v/>
      </c>
      <c r="O105" s="1" t="str">
        <f ca="1">IF(AND(B105="Jsy",I105&lt;=TODAY()),"Overdue","")</f>
        <v/>
      </c>
    </row>
    <row r="106" spans="1:15">
      <c r="A106" s="4" t="s">
        <v>106</v>
      </c>
      <c r="B106" s="1" t="s">
        <v>101</v>
      </c>
      <c r="C106" s="1" t="s">
        <v>120</v>
      </c>
      <c r="D106" s="1" t="s">
        <v>129</v>
      </c>
      <c r="E106" s="1" t="s">
        <v>103</v>
      </c>
      <c r="F106" s="1" t="s">
        <v>104</v>
      </c>
      <c r="G106" s="1" t="s">
        <v>105</v>
      </c>
      <c r="H106" s="5">
        <v>13000</v>
      </c>
      <c r="I106" s="6">
        <v>44323</v>
      </c>
      <c r="J106" s="14" t="str">
        <f>IF(AND(B106="Jsy",C106="EF"),"Attention!","")</f>
        <v/>
      </c>
      <c r="K106" s="7" t="str">
        <f>IF(OR(E106="No",F106="No",G106="No"),"Chase","")</f>
        <v>Chase</v>
      </c>
      <c r="L106" s="1" t="str">
        <f>IF(AND(C106="EF",D106="Moore"),"Review","")</f>
        <v/>
      </c>
      <c r="M106" s="1" t="str">
        <f>IF(OR(B106="Jsy",H106="&gt;10000"),"Priority","")</f>
        <v/>
      </c>
      <c r="N106" s="1" t="str">
        <f>IF(AND(E106="Yes",F106="Yes",G106="Yes"),"Completed","")</f>
        <v/>
      </c>
      <c r="O106" s="1" t="str">
        <f ca="1">IF(AND(B106="Jsy",I106&lt;=TODAY()),"Overdue","")</f>
        <v/>
      </c>
    </row>
    <row r="107" spans="1:15">
      <c r="A107" s="4" t="s">
        <v>106</v>
      </c>
      <c r="B107" s="1" t="s">
        <v>101</v>
      </c>
      <c r="C107" s="1" t="s">
        <v>130</v>
      </c>
      <c r="D107" s="1" t="s">
        <v>129</v>
      </c>
      <c r="E107" s="1" t="s">
        <v>103</v>
      </c>
      <c r="F107" s="1" t="s">
        <v>104</v>
      </c>
      <c r="G107" s="1" t="s">
        <v>105</v>
      </c>
      <c r="H107" s="5">
        <v>13000</v>
      </c>
      <c r="I107" s="6">
        <v>44359</v>
      </c>
      <c r="J107" s="14" t="str">
        <f>IF(AND(B107="Jsy",C107="EF"),"Attention!","")</f>
        <v/>
      </c>
      <c r="K107" s="7" t="str">
        <f>IF(OR(E107="No",F107="No",G107="No"),"Chase","")</f>
        <v>Chase</v>
      </c>
      <c r="L107" s="1" t="str">
        <f>IF(AND(C107="EF",D107="Moore"),"Review","")</f>
        <v/>
      </c>
      <c r="M107" s="1" t="str">
        <f>IF(OR(B107="Jsy",H107="&gt;10000"),"Priority","")</f>
        <v/>
      </c>
      <c r="N107" s="1" t="str">
        <f>IF(AND(E107="Yes",F107="Yes",G107="Yes"),"Completed","")</f>
        <v/>
      </c>
      <c r="O107" s="1" t="str">
        <f ca="1">IF(AND(B107="Jsy",I107&lt;=TODAY()),"Overdue","")</f>
        <v/>
      </c>
    </row>
    <row r="108" spans="1:15">
      <c r="A108" s="4" t="s">
        <v>109</v>
      </c>
      <c r="B108" s="1" t="s">
        <v>119</v>
      </c>
      <c r="C108" s="1" t="s">
        <v>123</v>
      </c>
      <c r="D108" s="1" t="s">
        <v>129</v>
      </c>
      <c r="E108" s="1" t="s">
        <v>103</v>
      </c>
      <c r="F108" s="1" t="s">
        <v>104</v>
      </c>
      <c r="G108" s="1" t="s">
        <v>105</v>
      </c>
      <c r="H108" s="5">
        <v>13341.5</v>
      </c>
      <c r="I108" s="6">
        <v>44347</v>
      </c>
      <c r="J108" s="14" t="str">
        <f>IF(AND(B108="Jsy",C108="EF"),"Attention!","")</f>
        <v/>
      </c>
      <c r="K108" s="7" t="str">
        <f>IF(OR(E108="No",F108="No",G108="No"),"Chase","")</f>
        <v>Chase</v>
      </c>
      <c r="L108" s="1" t="str">
        <f>IF(AND(C108="EF",D108="Moore"),"Review","")</f>
        <v/>
      </c>
      <c r="M108" s="1" t="str">
        <f>IF(OR(B108="Jsy",H108="&gt;10000"),"Priority","")</f>
        <v/>
      </c>
      <c r="N108" s="1" t="str">
        <f>IF(AND(E108="Yes",F108="Yes",G108="Yes"),"Completed","")</f>
        <v/>
      </c>
      <c r="O108" s="1" t="str">
        <f ca="1">IF(AND(B108="Jsy",I108&lt;=TODAY()),"Overdue","")</f>
        <v/>
      </c>
    </row>
    <row r="109" spans="1:15">
      <c r="A109" s="4" t="s">
        <v>109</v>
      </c>
      <c r="B109" s="1" t="s">
        <v>101</v>
      </c>
      <c r="C109" s="1" t="s">
        <v>130</v>
      </c>
      <c r="D109" s="1" t="s">
        <v>129</v>
      </c>
      <c r="E109" s="1" t="s">
        <v>103</v>
      </c>
      <c r="F109" s="1" t="s">
        <v>105</v>
      </c>
      <c r="G109" s="1" t="s">
        <v>105</v>
      </c>
      <c r="H109" s="5">
        <v>14464</v>
      </c>
      <c r="I109" s="6">
        <v>44705</v>
      </c>
      <c r="J109" s="14" t="str">
        <f>IF(AND(B109="Jsy",C109="EF"),"Attention!","")</f>
        <v/>
      </c>
      <c r="K109" s="7" t="str">
        <f>IF(OR(E109="No",F109="No",G109="No"),"Chase","")</f>
        <v>Chase</v>
      </c>
      <c r="L109" s="1" t="str">
        <f>IF(AND(C109="EF",D109="Moore"),"Review","")</f>
        <v/>
      </c>
      <c r="M109" s="1" t="str">
        <f>IF(OR(B109="Jsy",H109="&gt;10000"),"Priority","")</f>
        <v/>
      </c>
      <c r="N109" s="1" t="str">
        <f>IF(AND(E109="Yes",F109="Yes",G109="Yes"),"Completed","")</f>
        <v/>
      </c>
      <c r="O109" s="1" t="str">
        <f ca="1">IF(AND(B109="Jsy",I109&lt;=TODAY()),"Overdue","")</f>
        <v/>
      </c>
    </row>
    <row r="110" spans="1:15">
      <c r="A110" s="4" t="s">
        <v>109</v>
      </c>
      <c r="B110" s="1" t="s">
        <v>101</v>
      </c>
      <c r="C110" s="1" t="s">
        <v>130</v>
      </c>
      <c r="D110" s="1" t="s">
        <v>129</v>
      </c>
      <c r="E110" s="1" t="s">
        <v>103</v>
      </c>
      <c r="F110" s="1" t="s">
        <v>105</v>
      </c>
      <c r="G110" s="1" t="s">
        <v>105</v>
      </c>
      <c r="H110" s="5">
        <v>16111.5</v>
      </c>
      <c r="I110" s="6">
        <v>44618</v>
      </c>
      <c r="J110" s="14" t="str">
        <f>IF(AND(B110="Jsy",C110="EF"),"Attention!","")</f>
        <v/>
      </c>
      <c r="K110" s="7" t="str">
        <f>IF(OR(E110="No",F110="No",G110="No"),"Chase","")</f>
        <v>Chase</v>
      </c>
      <c r="L110" s="1" t="str">
        <f>IF(AND(C110="EF",D110="Moore"),"Review","")</f>
        <v/>
      </c>
      <c r="M110" s="1" t="str">
        <f>IF(OR(B110="Jsy",H110="&gt;10000"),"Priority","")</f>
        <v/>
      </c>
      <c r="N110" s="1" t="str">
        <f>IF(AND(E110="Yes",F110="Yes",G110="Yes"),"Completed","")</f>
        <v/>
      </c>
      <c r="O110" s="1" t="str">
        <f ca="1">IF(AND(B110="Jsy",I110&lt;=TODAY()),"Overdue","")</f>
        <v/>
      </c>
    </row>
    <row r="111" spans="1:15">
      <c r="A111" s="4" t="s">
        <v>100</v>
      </c>
      <c r="B111" s="1" t="s">
        <v>107</v>
      </c>
      <c r="C111" s="1" t="s">
        <v>114</v>
      </c>
      <c r="D111" s="1" t="s">
        <v>129</v>
      </c>
      <c r="E111" s="1" t="s">
        <v>103</v>
      </c>
      <c r="F111" s="1" t="s">
        <v>104</v>
      </c>
      <c r="G111" s="1" t="s">
        <v>103</v>
      </c>
      <c r="H111" s="5">
        <v>16250</v>
      </c>
      <c r="I111" s="6">
        <f ca="1">TODAY()+45</f>
        <v>45415</v>
      </c>
      <c r="J111" s="14" t="str">
        <f>IF(AND(B111="Jsy",C111="EF"),"Attention!","")</f>
        <v>Attention!</v>
      </c>
      <c r="K111" s="7" t="str">
        <f>IF(OR(E111="No",F111="No",G111="No"),"Chase","")</f>
        <v/>
      </c>
      <c r="L111" s="1" t="str">
        <f>IF(AND(C111="EF",D111="Moore"),"Review","")</f>
        <v>Review</v>
      </c>
      <c r="M111" s="1" t="str">
        <f>IF(OR(B111="Jsy",H111="&gt;10000"),"Priority","")</f>
        <v>Priority</v>
      </c>
      <c r="N111" s="1" t="str">
        <f>IF(AND(E111="Yes",F111="Yes",G111="Yes"),"Completed","")</f>
        <v>Completed</v>
      </c>
      <c r="O111" s="1" t="str">
        <f ca="1">IF(AND(B111="Jsy",I111&lt;=TODAY()),"Overdue","")</f>
        <v/>
      </c>
    </row>
    <row r="112" spans="1:15">
      <c r="A112" s="4" t="s">
        <v>109</v>
      </c>
      <c r="B112" s="1" t="s">
        <v>107</v>
      </c>
      <c r="C112" s="1" t="s">
        <v>114</v>
      </c>
      <c r="D112" s="1" t="s">
        <v>129</v>
      </c>
      <c r="E112" s="1" t="s">
        <v>103</v>
      </c>
      <c r="F112" s="1" t="s">
        <v>105</v>
      </c>
      <c r="G112" s="1" t="s">
        <v>105</v>
      </c>
      <c r="H112" s="5">
        <v>23450</v>
      </c>
      <c r="I112" s="6">
        <v>44695</v>
      </c>
      <c r="J112" s="14" t="str">
        <f>IF(AND(B112="Jsy",C112="EF"),"Attention!","")</f>
        <v>Attention!</v>
      </c>
      <c r="K112" s="7" t="str">
        <f>IF(OR(E112="No",F112="No",G112="No"),"Chase","")</f>
        <v>Chase</v>
      </c>
      <c r="L112" s="1" t="str">
        <f>IF(AND(C112="EF",D112="Moore"),"Review","")</f>
        <v>Review</v>
      </c>
      <c r="M112" s="1" t="str">
        <f>IF(OR(B112="Jsy",H112="&gt;10000"),"Priority","")</f>
        <v>Priority</v>
      </c>
      <c r="N112" s="1" t="str">
        <f>IF(AND(E112="Yes",F112="Yes",G112="Yes"),"Completed","")</f>
        <v/>
      </c>
      <c r="O112" s="1" t="str">
        <f ca="1">IF(AND(B112="Jsy",I112&lt;=TODAY()),"Overdue","")</f>
        <v>Overdue</v>
      </c>
    </row>
    <row r="113" spans="1:15">
      <c r="A113" s="4" t="s">
        <v>109</v>
      </c>
      <c r="B113" s="1" t="s">
        <v>101</v>
      </c>
      <c r="C113" s="1" t="s">
        <v>120</v>
      </c>
      <c r="D113" s="1" t="s">
        <v>129</v>
      </c>
      <c r="E113" s="1" t="s">
        <v>105</v>
      </c>
      <c r="F113" s="1" t="s">
        <v>105</v>
      </c>
      <c r="G113" s="1" t="s">
        <v>105</v>
      </c>
      <c r="H113" s="5">
        <v>32917.99</v>
      </c>
      <c r="I113" s="6">
        <v>44717</v>
      </c>
      <c r="J113" s="14" t="str">
        <f>IF(AND(B113="Jsy",C113="EF"),"Attention!","")</f>
        <v/>
      </c>
      <c r="K113" s="7" t="str">
        <f>IF(OR(E113="No",F113="No",G113="No"),"Chase","")</f>
        <v>Chase</v>
      </c>
      <c r="L113" s="1" t="str">
        <f>IF(AND(C113="EF",D113="Moore"),"Review","")</f>
        <v/>
      </c>
      <c r="M113" s="1" t="str">
        <f>IF(OR(B113="Jsy",H113="&gt;10000"),"Priority","")</f>
        <v/>
      </c>
      <c r="N113" s="1" t="str">
        <f>IF(AND(E113="Yes",F113="Yes",G113="Yes"),"Completed","")</f>
        <v/>
      </c>
      <c r="O113" s="1" t="str">
        <f ca="1">IF(AND(B113="Jsy",I113&lt;=TODAY()),"Overdue","")</f>
        <v/>
      </c>
    </row>
    <row r="114" spans="1:15">
      <c r="A114" s="4" t="s">
        <v>109</v>
      </c>
      <c r="B114" s="1" t="s">
        <v>107</v>
      </c>
      <c r="C114" s="1" t="s">
        <v>114</v>
      </c>
      <c r="D114" s="1" t="s">
        <v>129</v>
      </c>
      <c r="E114" s="1" t="s">
        <v>103</v>
      </c>
      <c r="F114" s="1" t="s">
        <v>105</v>
      </c>
      <c r="G114" s="1" t="s">
        <v>105</v>
      </c>
      <c r="H114" s="5">
        <v>49925</v>
      </c>
      <c r="I114" s="6">
        <v>44622</v>
      </c>
      <c r="J114" s="14" t="str">
        <f>IF(AND(B114="Jsy",C114="EF"),"Attention!","")</f>
        <v>Attention!</v>
      </c>
      <c r="K114" s="7" t="str">
        <f>IF(OR(E114="No",F114="No",G114="No"),"Chase","")</f>
        <v>Chase</v>
      </c>
      <c r="L114" s="1" t="str">
        <f>IF(AND(C114="EF",D114="Moore"),"Review","")</f>
        <v>Review</v>
      </c>
      <c r="M114" s="1" t="str">
        <f>IF(OR(B114="Jsy",H114="&gt;10000"),"Priority","")</f>
        <v>Priority</v>
      </c>
      <c r="N114" s="1" t="str">
        <f>IF(AND(E114="Yes",F114="Yes",G114="Yes"),"Completed","")</f>
        <v/>
      </c>
      <c r="O114" s="1" t="str">
        <f ca="1">IF(AND(B114="Jsy",I114&lt;=TODAY()),"Overdue","")</f>
        <v>Overdue</v>
      </c>
    </row>
    <row r="115" spans="1:15">
      <c r="A115" s="4" t="s">
        <v>109</v>
      </c>
      <c r="B115" s="1" t="s">
        <v>101</v>
      </c>
      <c r="C115" s="1" t="s">
        <v>130</v>
      </c>
      <c r="D115" s="1" t="s">
        <v>129</v>
      </c>
      <c r="E115" s="1" t="s">
        <v>103</v>
      </c>
      <c r="F115" s="1" t="s">
        <v>105</v>
      </c>
      <c r="G115" s="1" t="s">
        <v>105</v>
      </c>
      <c r="H115" s="5">
        <v>50684</v>
      </c>
      <c r="I115" s="6">
        <v>44698</v>
      </c>
      <c r="J115" s="14" t="str">
        <f>IF(AND(B115="Jsy",C115="EF"),"Attention!","")</f>
        <v/>
      </c>
      <c r="K115" s="7" t="str">
        <f>IF(OR(E115="No",F115="No",G115="No"),"Chase","")</f>
        <v>Chase</v>
      </c>
      <c r="L115" s="1" t="str">
        <f>IF(AND(C115="EF",D115="Moore"),"Review","")</f>
        <v/>
      </c>
      <c r="M115" s="1" t="str">
        <f>IF(OR(B115="Jsy",H115="&gt;10000"),"Priority","")</f>
        <v/>
      </c>
      <c r="N115" s="1" t="str">
        <f>IF(AND(E115="Yes",F115="Yes",G115="Yes"),"Completed","")</f>
        <v/>
      </c>
      <c r="O115" s="1" t="str">
        <f ca="1">IF(AND(B115="Jsy",I115&lt;=TODAY()),"Overdue","")</f>
        <v/>
      </c>
    </row>
    <row r="116" spans="1:15">
      <c r="A116" s="4" t="s">
        <v>109</v>
      </c>
      <c r="B116" s="1" t="s">
        <v>101</v>
      </c>
      <c r="C116" s="1" t="s">
        <v>130</v>
      </c>
      <c r="D116" s="1" t="s">
        <v>129</v>
      </c>
      <c r="E116" s="1" t="s">
        <v>103</v>
      </c>
      <c r="F116" s="1" t="s">
        <v>105</v>
      </c>
      <c r="G116" s="1" t="s">
        <v>105</v>
      </c>
      <c r="H116" s="5">
        <v>53565.5</v>
      </c>
      <c r="I116" s="6">
        <v>44646</v>
      </c>
      <c r="J116" s="14" t="str">
        <f>IF(AND(B116="Jsy",C116="EF"),"Attention!","")</f>
        <v/>
      </c>
      <c r="K116" s="7" t="str">
        <f>IF(OR(E116="No",F116="No",G116="No"),"Chase","")</f>
        <v>Chase</v>
      </c>
      <c r="L116" s="1" t="str">
        <f>IF(AND(C116="EF",D116="Moore"),"Review","")</f>
        <v/>
      </c>
      <c r="M116" s="1" t="str">
        <f>IF(OR(B116="Jsy",H116="&gt;10000"),"Priority","")</f>
        <v/>
      </c>
      <c r="N116" s="1" t="str">
        <f>IF(AND(E116="Yes",F116="Yes",G116="Yes"),"Completed","")</f>
        <v/>
      </c>
      <c r="O116" s="1" t="str">
        <f ca="1">IF(AND(B116="Jsy",I116&lt;=TODAY()),"Overdue","")</f>
        <v/>
      </c>
    </row>
    <row r="117" spans="1:15">
      <c r="A117" s="4" t="s">
        <v>109</v>
      </c>
      <c r="B117" s="1" t="s">
        <v>101</v>
      </c>
      <c r="C117" s="1" t="s">
        <v>130</v>
      </c>
      <c r="D117" s="1" t="s">
        <v>129</v>
      </c>
      <c r="E117" s="1" t="s">
        <v>103</v>
      </c>
      <c r="F117" s="1" t="s">
        <v>105</v>
      </c>
      <c r="G117" s="1" t="s">
        <v>105</v>
      </c>
      <c r="H117" s="5">
        <v>60921.5</v>
      </c>
      <c r="I117" s="6">
        <v>44619</v>
      </c>
      <c r="J117" s="14" t="str">
        <f>IF(AND(B117="Jsy",C117="EF"),"Attention!","")</f>
        <v/>
      </c>
      <c r="K117" s="7" t="str">
        <f>IF(OR(E117="No",F117="No",G117="No"),"Chase","")</f>
        <v>Chase</v>
      </c>
      <c r="L117" s="1" t="str">
        <f>IF(AND(C117="EF",D117="Moore"),"Review","")</f>
        <v/>
      </c>
      <c r="M117" s="1" t="str">
        <f>IF(OR(B117="Jsy",H117="&gt;10000"),"Priority","")</f>
        <v/>
      </c>
      <c r="N117" s="1" t="str">
        <f>IF(AND(E117="Yes",F117="Yes",G117="Yes"),"Completed","")</f>
        <v/>
      </c>
      <c r="O117" s="1" t="str">
        <f ca="1">IF(AND(B117="Jsy",I117&lt;=TODAY()),"Overdue","")</f>
        <v/>
      </c>
    </row>
    <row r="118" spans="1:15">
      <c r="A118" s="4" t="s">
        <v>109</v>
      </c>
      <c r="B118" s="1" t="s">
        <v>101</v>
      </c>
      <c r="C118" s="1" t="s">
        <v>130</v>
      </c>
      <c r="D118" s="1" t="s">
        <v>129</v>
      </c>
      <c r="E118" s="1" t="s">
        <v>103</v>
      </c>
      <c r="F118" s="1" t="s">
        <v>105</v>
      </c>
      <c r="G118" s="1" t="s">
        <v>105</v>
      </c>
      <c r="H118" s="5">
        <v>63565</v>
      </c>
      <c r="I118" s="6">
        <v>44718</v>
      </c>
      <c r="J118" s="14" t="str">
        <f>IF(AND(B118="Jsy",C118="EF"),"Attention!","")</f>
        <v/>
      </c>
      <c r="K118" s="7" t="str">
        <f>IF(OR(E118="No",F118="No",G118="No"),"Chase","")</f>
        <v>Chase</v>
      </c>
      <c r="L118" s="1" t="str">
        <f>IF(AND(C118="EF",D118="Moore"),"Review","")</f>
        <v/>
      </c>
      <c r="M118" s="1" t="str">
        <f>IF(OR(B118="Jsy",H118="&gt;10000"),"Priority","")</f>
        <v/>
      </c>
      <c r="N118" s="1" t="str">
        <f>IF(AND(E118="Yes",F118="Yes",G118="Yes"),"Completed","")</f>
        <v/>
      </c>
      <c r="O118" s="1" t="str">
        <f ca="1">IF(AND(B118="Jsy",I118&lt;=TODAY()),"Overdue","")</f>
        <v/>
      </c>
    </row>
    <row r="119" spans="1:15">
      <c r="A119" s="4" t="s">
        <v>109</v>
      </c>
      <c r="B119" s="1" t="s">
        <v>107</v>
      </c>
      <c r="C119" s="1" t="s">
        <v>112</v>
      </c>
      <c r="D119" s="157" t="s">
        <v>131</v>
      </c>
      <c r="E119" s="1" t="s">
        <v>103</v>
      </c>
      <c r="F119" s="1" t="s">
        <v>105</v>
      </c>
      <c r="G119" s="1" t="s">
        <v>105</v>
      </c>
      <c r="H119" s="5">
        <v>11559.38</v>
      </c>
      <c r="I119" s="6">
        <v>44670</v>
      </c>
      <c r="J119" s="14" t="str">
        <f>IF(AND(B119="Jsy",C119="EF"),"Attention!","")</f>
        <v/>
      </c>
      <c r="K119" s="7" t="str">
        <f>IF(OR(E119="No",F119="No",G119="No"),"Chase","")</f>
        <v>Chase</v>
      </c>
      <c r="L119" s="1" t="str">
        <f>IF(AND(C119="EF",D119="Moore"),"Review","")</f>
        <v/>
      </c>
      <c r="M119" s="1" t="str">
        <f>IF(OR(B119="Jsy",H119="&gt;10000"),"Priority","")</f>
        <v>Priority</v>
      </c>
      <c r="N119" s="1" t="str">
        <f>IF(AND(E119="Yes",F119="Yes",G119="Yes"),"Completed","")</f>
        <v/>
      </c>
      <c r="O119" s="1" t="str">
        <f ca="1">IF(AND(B119="Jsy",I119&lt;=TODAY()),"Overdue","")</f>
        <v>Overdue</v>
      </c>
    </row>
    <row r="120" spans="1:15">
      <c r="A120" s="4" t="s">
        <v>106</v>
      </c>
      <c r="B120" s="1" t="s">
        <v>101</v>
      </c>
      <c r="C120" s="1" t="s">
        <v>108</v>
      </c>
      <c r="D120" s="1" t="s">
        <v>132</v>
      </c>
      <c r="E120" s="1" t="s">
        <v>103</v>
      </c>
      <c r="F120" s="1" t="s">
        <v>104</v>
      </c>
      <c r="G120" s="1" t="s">
        <v>105</v>
      </c>
      <c r="H120" s="5">
        <v>12769.48</v>
      </c>
      <c r="I120" s="6">
        <v>44288</v>
      </c>
      <c r="J120" s="14" t="str">
        <f>IF(AND(B120="Jsy",C120="EF"),"Attention!","")</f>
        <v/>
      </c>
      <c r="K120" s="7" t="str">
        <f>IF(OR(E120="No",F120="No",G120="No"),"Chase","")</f>
        <v>Chase</v>
      </c>
      <c r="L120" s="1" t="str">
        <f>IF(AND(C120="EF",D120="Moore"),"Review","")</f>
        <v/>
      </c>
      <c r="M120" s="1" t="str">
        <f>IF(OR(B120="Jsy",H120="&gt;10000"),"Priority","")</f>
        <v/>
      </c>
      <c r="N120" s="1" t="str">
        <f>IF(AND(E120="Yes",F120="Yes",G120="Yes"),"Completed","")</f>
        <v/>
      </c>
      <c r="O120" s="1" t="str">
        <f ca="1">IF(AND(B120="Jsy",I120&lt;=TODAY()),"Overdue","")</f>
        <v/>
      </c>
    </row>
    <row r="121" spans="1:15">
      <c r="A121" s="4" t="s">
        <v>100</v>
      </c>
      <c r="B121" s="1" t="s">
        <v>107</v>
      </c>
      <c r="C121" s="1" t="s">
        <v>120</v>
      </c>
      <c r="D121" s="1" t="s">
        <v>133</v>
      </c>
      <c r="E121" s="1" t="s">
        <v>103</v>
      </c>
      <c r="F121" s="1" t="s">
        <v>104</v>
      </c>
      <c r="G121" s="1" t="s">
        <v>103</v>
      </c>
      <c r="H121" s="5">
        <v>6364</v>
      </c>
      <c r="I121" s="6">
        <f ca="1">TODAY()+50</f>
        <v>45420</v>
      </c>
      <c r="J121" s="14" t="str">
        <f>IF(AND(B121="Jsy",C121="EF"),"Attention!","")</f>
        <v/>
      </c>
      <c r="K121" s="7" t="str">
        <f>IF(OR(E121="No",F121="No",G121="No"),"Chase","")</f>
        <v/>
      </c>
      <c r="L121" s="1" t="str">
        <f>IF(AND(C121="EF",D121="Moore"),"Review","")</f>
        <v/>
      </c>
      <c r="M121" s="1" t="str">
        <f>IF(OR(B121="Jsy",H121="&gt;10000"),"Priority","")</f>
        <v>Priority</v>
      </c>
      <c r="N121" s="1" t="str">
        <f>IF(AND(E121="Yes",F121="Yes",G121="Yes"),"Completed","")</f>
        <v>Completed</v>
      </c>
      <c r="O121" s="1" t="str">
        <f ca="1">IF(AND(B121="Jsy",I121&lt;=TODAY()),"Overdue","")</f>
        <v/>
      </c>
    </row>
    <row r="122" spans="1:15">
      <c r="A122" s="4" t="s">
        <v>109</v>
      </c>
      <c r="B122" s="1" t="s">
        <v>134</v>
      </c>
      <c r="C122" s="1" t="s">
        <v>114</v>
      </c>
      <c r="D122" s="1" t="s">
        <v>133</v>
      </c>
      <c r="E122" s="1" t="s">
        <v>105</v>
      </c>
      <c r="F122" s="1" t="s">
        <v>105</v>
      </c>
      <c r="G122" s="1" t="s">
        <v>105</v>
      </c>
      <c r="H122" s="5">
        <v>9842.5</v>
      </c>
      <c r="I122" s="6">
        <v>44631</v>
      </c>
      <c r="J122" s="14" t="str">
        <f>IF(AND(B122="Jsy",C122="EF"),"Attention!","")</f>
        <v/>
      </c>
      <c r="K122" s="7" t="str">
        <f>IF(OR(E122="No",F122="No",G122="No"),"Chase","")</f>
        <v>Chase</v>
      </c>
      <c r="L122" s="1" t="str">
        <f>IF(AND(C122="EF",D122="Moore"),"Review","")</f>
        <v/>
      </c>
      <c r="M122" s="1" t="str">
        <f>IF(OR(B122="Jsy",H122="&gt;10000"),"Priority","")</f>
        <v/>
      </c>
      <c r="N122" s="1" t="str">
        <f>IF(AND(E122="Yes",F122="Yes",G122="Yes"),"Completed","")</f>
        <v/>
      </c>
      <c r="O122" s="1" t="str">
        <f ca="1">IF(AND(B122="Jsy",I122&lt;=TODAY()),"Overdue","")</f>
        <v/>
      </c>
    </row>
    <row r="123" spans="1:15">
      <c r="A123" s="4" t="s">
        <v>109</v>
      </c>
      <c r="B123" s="1" t="s">
        <v>134</v>
      </c>
      <c r="C123" s="1" t="s">
        <v>114</v>
      </c>
      <c r="D123" s="1" t="s">
        <v>133</v>
      </c>
      <c r="E123" s="1" t="s">
        <v>105</v>
      </c>
      <c r="F123" s="1" t="s">
        <v>103</v>
      </c>
      <c r="G123" s="1" t="s">
        <v>105</v>
      </c>
      <c r="H123" s="5">
        <v>9845.9599999999991</v>
      </c>
      <c r="I123" s="6">
        <v>44685</v>
      </c>
      <c r="J123" s="14" t="str">
        <f>IF(AND(B123="Jsy",C123="EF"),"Attention!","")</f>
        <v/>
      </c>
      <c r="K123" s="7" t="str">
        <f>IF(OR(E123="No",F123="No",G123="No"),"Chase","")</f>
        <v>Chase</v>
      </c>
      <c r="L123" s="1" t="str">
        <f>IF(AND(C123="EF",D123="Moore"),"Review","")</f>
        <v/>
      </c>
      <c r="M123" s="1" t="str">
        <f>IF(OR(B123="Jsy",H123="&gt;10000"),"Priority","")</f>
        <v/>
      </c>
      <c r="N123" s="1" t="str">
        <f>IF(AND(E123="Yes",F123="Yes",G123="Yes"),"Completed","")</f>
        <v/>
      </c>
      <c r="O123" s="1" t="str">
        <f ca="1">IF(AND(B123="Jsy",I123&lt;=TODAY()),"Overdue","")</f>
        <v/>
      </c>
    </row>
    <row r="124" spans="1:15">
      <c r="A124" s="4" t="s">
        <v>109</v>
      </c>
      <c r="B124" s="1" t="s">
        <v>134</v>
      </c>
      <c r="C124" s="1" t="s">
        <v>114</v>
      </c>
      <c r="D124" s="1" t="s">
        <v>133</v>
      </c>
      <c r="E124" s="1" t="s">
        <v>105</v>
      </c>
      <c r="F124" s="1" t="s">
        <v>103</v>
      </c>
      <c r="G124" s="1" t="s">
        <v>105</v>
      </c>
      <c r="H124" s="5">
        <v>10036.44</v>
      </c>
      <c r="I124" s="6">
        <v>44654</v>
      </c>
      <c r="J124" s="14" t="str">
        <f>IF(AND(B124="Jsy",C124="EF"),"Attention!","")</f>
        <v/>
      </c>
      <c r="K124" s="7" t="str">
        <f>IF(OR(E124="No",F124="No",G124="No"),"Chase","")</f>
        <v>Chase</v>
      </c>
      <c r="L124" s="1" t="str">
        <f>IF(AND(C124="EF",D124="Moore"),"Review","")</f>
        <v/>
      </c>
      <c r="M124" s="1" t="str">
        <f>IF(OR(B124="Jsy",H124="&gt;10000"),"Priority","")</f>
        <v/>
      </c>
      <c r="N124" s="1" t="str">
        <f>IF(AND(E124="Yes",F124="Yes",G124="Yes"),"Completed","")</f>
        <v/>
      </c>
      <c r="O124" s="1" t="str">
        <f ca="1">IF(AND(B124="Jsy",I124&lt;=TODAY()),"Overdue","")</f>
        <v/>
      </c>
    </row>
    <row r="125" spans="1:15">
      <c r="A125" s="4" t="s">
        <v>109</v>
      </c>
      <c r="B125" s="1" t="s">
        <v>134</v>
      </c>
      <c r="C125" s="1" t="s">
        <v>114</v>
      </c>
      <c r="D125" s="1" t="s">
        <v>133</v>
      </c>
      <c r="E125" s="1" t="s">
        <v>105</v>
      </c>
      <c r="F125" s="1" t="s">
        <v>105</v>
      </c>
      <c r="G125" s="1" t="s">
        <v>105</v>
      </c>
      <c r="H125" s="5">
        <v>10129</v>
      </c>
      <c r="I125" s="6">
        <v>44642</v>
      </c>
      <c r="J125" s="14" t="str">
        <f>IF(AND(B125="Jsy",C125="EF"),"Attention!","")</f>
        <v/>
      </c>
      <c r="K125" s="7" t="str">
        <f>IF(OR(E125="No",F125="No",G125="No"),"Chase","")</f>
        <v>Chase</v>
      </c>
      <c r="L125" s="1" t="str">
        <f>IF(AND(C125="EF",D125="Moore"),"Review","")</f>
        <v/>
      </c>
      <c r="M125" s="1" t="str">
        <f>IF(OR(B125="Jsy",H125="&gt;10000"),"Priority","")</f>
        <v/>
      </c>
      <c r="N125" s="1" t="str">
        <f>IF(AND(E125="Yes",F125="Yes",G125="Yes"),"Completed","")</f>
        <v/>
      </c>
      <c r="O125" s="1" t="str">
        <f ca="1">IF(AND(B125="Jsy",I125&lt;=TODAY()),"Overdue","")</f>
        <v/>
      </c>
    </row>
    <row r="126" spans="1:15">
      <c r="A126" s="4" t="s">
        <v>109</v>
      </c>
      <c r="B126" s="1" t="s">
        <v>116</v>
      </c>
      <c r="C126" s="1" t="s">
        <v>114</v>
      </c>
      <c r="D126" s="1" t="s">
        <v>133</v>
      </c>
      <c r="E126" s="1" t="s">
        <v>105</v>
      </c>
      <c r="F126" s="1" t="s">
        <v>105</v>
      </c>
      <c r="G126" s="1" t="s">
        <v>105</v>
      </c>
      <c r="H126" s="5">
        <v>10144</v>
      </c>
      <c r="I126" s="6">
        <v>44627</v>
      </c>
      <c r="J126" s="14" t="str">
        <f>IF(AND(B126="Jsy",C126="EF"),"Attention!","")</f>
        <v/>
      </c>
      <c r="K126" s="7" t="str">
        <f>IF(OR(E126="No",F126="No",G126="No"),"Chase","")</f>
        <v>Chase</v>
      </c>
      <c r="L126" s="1" t="str">
        <f>IF(AND(C126="EF",D126="Moore"),"Review","")</f>
        <v/>
      </c>
      <c r="M126" s="1" t="str">
        <f>IF(OR(B126="Jsy",H126="&gt;10000"),"Priority","")</f>
        <v/>
      </c>
      <c r="N126" s="1" t="str">
        <f>IF(AND(E126="Yes",F126="Yes",G126="Yes"),"Completed","")</f>
        <v/>
      </c>
      <c r="O126" s="1" t="str">
        <f ca="1">IF(AND(B126="Jsy",I126&lt;=TODAY()),"Overdue","")</f>
        <v/>
      </c>
    </row>
    <row r="127" spans="1:15">
      <c r="A127" s="4" t="s">
        <v>109</v>
      </c>
      <c r="B127" s="1" t="s">
        <v>107</v>
      </c>
      <c r="C127" s="1" t="s">
        <v>120</v>
      </c>
      <c r="D127" s="1" t="s">
        <v>133</v>
      </c>
      <c r="E127" s="1" t="s">
        <v>103</v>
      </c>
      <c r="F127" s="1" t="s">
        <v>105</v>
      </c>
      <c r="G127" s="1" t="s">
        <v>105</v>
      </c>
      <c r="H127" s="5">
        <v>10202</v>
      </c>
      <c r="I127" s="6">
        <v>44266</v>
      </c>
      <c r="J127" s="14" t="str">
        <f>IF(AND(B127="Jsy",C127="EF"),"Attention!","")</f>
        <v/>
      </c>
      <c r="K127" s="7" t="str">
        <f>IF(OR(E127="No",F127="No",G127="No"),"Chase","")</f>
        <v>Chase</v>
      </c>
      <c r="L127" s="1" t="str">
        <f>IF(AND(C127="EF",D127="Moore"),"Review","")</f>
        <v/>
      </c>
      <c r="M127" s="1" t="str">
        <f>IF(OR(B127="Jsy",H127="&gt;10000"),"Priority","")</f>
        <v>Priority</v>
      </c>
      <c r="N127" s="1" t="str">
        <f>IF(AND(E127="Yes",F127="Yes",G127="Yes"),"Completed","")</f>
        <v/>
      </c>
      <c r="O127" s="1" t="str">
        <f ca="1">IF(AND(B127="Jsy",I127&lt;=TODAY()),"Overdue","")</f>
        <v>Overdue</v>
      </c>
    </row>
    <row r="128" spans="1:15">
      <c r="A128" s="4" t="s">
        <v>106</v>
      </c>
      <c r="B128" s="1" t="s">
        <v>135</v>
      </c>
      <c r="C128" s="1" t="s">
        <v>114</v>
      </c>
      <c r="D128" s="1" t="s">
        <v>133</v>
      </c>
      <c r="E128" s="1" t="s">
        <v>103</v>
      </c>
      <c r="F128" s="1" t="s">
        <v>104</v>
      </c>
      <c r="G128" s="1" t="s">
        <v>105</v>
      </c>
      <c r="H128" s="5">
        <v>10390</v>
      </c>
      <c r="I128" s="6">
        <v>44308</v>
      </c>
      <c r="J128" s="14" t="str">
        <f>IF(AND(B128="Jsy",C128="EF"),"Attention!","")</f>
        <v/>
      </c>
      <c r="K128" s="7" t="str">
        <f>IF(OR(E128="No",F128="No",G128="No"),"Chase","")</f>
        <v>Chase</v>
      </c>
      <c r="L128" s="1" t="str">
        <f>IF(AND(C128="EF",D128="Moore"),"Review","")</f>
        <v/>
      </c>
      <c r="M128" s="1" t="str">
        <f>IF(OR(B128="Jsy",H128="&gt;10000"),"Priority","")</f>
        <v/>
      </c>
      <c r="N128" s="1" t="str">
        <f>IF(AND(E128="Yes",F128="Yes",G128="Yes"),"Completed","")</f>
        <v/>
      </c>
      <c r="O128" s="1" t="str">
        <f ca="1">IF(AND(B128="Jsy",I128&lt;=TODAY()),"Overdue","")</f>
        <v/>
      </c>
    </row>
    <row r="129" spans="1:15">
      <c r="A129" s="4" t="s">
        <v>109</v>
      </c>
      <c r="B129" s="1" t="s">
        <v>134</v>
      </c>
      <c r="C129" s="1" t="s">
        <v>114</v>
      </c>
      <c r="D129" s="1" t="s">
        <v>133</v>
      </c>
      <c r="E129" s="1" t="s">
        <v>105</v>
      </c>
      <c r="F129" s="1" t="s">
        <v>105</v>
      </c>
      <c r="G129" s="1" t="s">
        <v>105</v>
      </c>
      <c r="H129" s="5">
        <v>10600</v>
      </c>
      <c r="I129" s="6">
        <v>44728</v>
      </c>
      <c r="J129" s="14" t="str">
        <f>IF(AND(B129="Jsy",C129="EF"),"Attention!","")</f>
        <v/>
      </c>
      <c r="K129" s="7" t="str">
        <f>IF(OR(E129="No",F129="No",G129="No"),"Chase","")</f>
        <v>Chase</v>
      </c>
      <c r="L129" s="1" t="str">
        <f>IF(AND(C129="EF",D129="Moore"),"Review","")</f>
        <v/>
      </c>
      <c r="M129" s="1" t="str">
        <f>IF(OR(B129="Jsy",H129="&gt;10000"),"Priority","")</f>
        <v/>
      </c>
      <c r="N129" s="1" t="str">
        <f>IF(AND(E129="Yes",F129="Yes",G129="Yes"),"Completed","")</f>
        <v/>
      </c>
      <c r="O129" s="1" t="str">
        <f ca="1">IF(AND(B129="Jsy",I129&lt;=TODAY()),"Overdue","")</f>
        <v/>
      </c>
    </row>
    <row r="130" spans="1:15">
      <c r="A130" s="4" t="s">
        <v>109</v>
      </c>
      <c r="B130" s="1" t="s">
        <v>135</v>
      </c>
      <c r="C130" s="1" t="s">
        <v>114</v>
      </c>
      <c r="D130" s="1" t="s">
        <v>133</v>
      </c>
      <c r="E130" s="1" t="s">
        <v>105</v>
      </c>
      <c r="F130" s="1" t="s">
        <v>105</v>
      </c>
      <c r="G130" s="1" t="s">
        <v>105</v>
      </c>
      <c r="H130" s="5">
        <v>10661.6</v>
      </c>
      <c r="I130" s="6">
        <v>44726</v>
      </c>
      <c r="J130" s="14" t="str">
        <f>IF(AND(B130="Jsy",C130="EF"),"Attention!","")</f>
        <v/>
      </c>
      <c r="K130" s="7" t="str">
        <f>IF(OR(E130="No",F130="No",G130="No"),"Chase","")</f>
        <v>Chase</v>
      </c>
      <c r="L130" s="1" t="str">
        <f>IF(AND(C130="EF",D130="Moore"),"Review","")</f>
        <v/>
      </c>
      <c r="M130" s="1" t="str">
        <f>IF(OR(B130="Jsy",H130="&gt;10000"),"Priority","")</f>
        <v/>
      </c>
      <c r="N130" s="1" t="str">
        <f>IF(AND(E130="Yes",F130="Yes",G130="Yes"),"Completed","")</f>
        <v/>
      </c>
      <c r="O130" s="1" t="str">
        <f ca="1">IF(AND(B130="Jsy",I130&lt;=TODAY()),"Overdue","")</f>
        <v/>
      </c>
    </row>
    <row r="131" spans="1:15">
      <c r="A131" s="4" t="s">
        <v>109</v>
      </c>
      <c r="B131" s="1" t="s">
        <v>107</v>
      </c>
      <c r="C131" s="1" t="s">
        <v>120</v>
      </c>
      <c r="D131" s="1" t="s">
        <v>133</v>
      </c>
      <c r="E131" s="1" t="s">
        <v>103</v>
      </c>
      <c r="F131" s="1" t="s">
        <v>105</v>
      </c>
      <c r="G131" s="1" t="s">
        <v>105</v>
      </c>
      <c r="H131" s="5">
        <v>10750</v>
      </c>
      <c r="I131" s="6">
        <v>44699</v>
      </c>
      <c r="J131" s="14" t="str">
        <f>IF(AND(B131="Jsy",C131="EF"),"Attention!","")</f>
        <v/>
      </c>
      <c r="K131" s="7" t="str">
        <f>IF(OR(E131="No",F131="No",G131="No"),"Chase","")</f>
        <v>Chase</v>
      </c>
      <c r="L131" s="1" t="str">
        <f>IF(AND(C131="EF",D131="Moore"),"Review","")</f>
        <v/>
      </c>
      <c r="M131" s="1" t="str">
        <f>IF(OR(B131="Jsy",H131="&gt;10000"),"Priority","")</f>
        <v>Priority</v>
      </c>
      <c r="N131" s="1" t="str">
        <f>IF(AND(E131="Yes",F131="Yes",G131="Yes"),"Completed","")</f>
        <v/>
      </c>
      <c r="O131" s="1" t="str">
        <f ca="1">IF(AND(B131="Jsy",I131&lt;=TODAY()),"Overdue","")</f>
        <v>Overdue</v>
      </c>
    </row>
    <row r="132" spans="1:15">
      <c r="A132" s="4" t="s">
        <v>109</v>
      </c>
      <c r="B132" s="1" t="s">
        <v>111</v>
      </c>
      <c r="C132" s="1" t="s">
        <v>114</v>
      </c>
      <c r="D132" s="1" t="s">
        <v>133</v>
      </c>
      <c r="E132" s="1" t="s">
        <v>105</v>
      </c>
      <c r="F132" s="1" t="s">
        <v>103</v>
      </c>
      <c r="G132" s="1" t="s">
        <v>105</v>
      </c>
      <c r="H132" s="5">
        <v>11000</v>
      </c>
      <c r="I132" s="6">
        <v>44702</v>
      </c>
      <c r="J132" s="14" t="str">
        <f>IF(AND(B132="Jsy",C132="EF"),"Attention!","")</f>
        <v/>
      </c>
      <c r="K132" s="7" t="str">
        <f>IF(OR(E132="No",F132="No",G132="No"),"Chase","")</f>
        <v>Chase</v>
      </c>
      <c r="L132" s="1" t="str">
        <f>IF(AND(C132="EF",D132="Moore"),"Review","")</f>
        <v/>
      </c>
      <c r="M132" s="1" t="str">
        <f>IF(OR(B132="Jsy",H132="&gt;10000"),"Priority","")</f>
        <v/>
      </c>
      <c r="N132" s="1" t="str">
        <f>IF(AND(E132="Yes",F132="Yes",G132="Yes"),"Completed","")</f>
        <v/>
      </c>
      <c r="O132" s="1" t="str">
        <f ca="1">IF(AND(B132="Jsy",I132&lt;=TODAY()),"Overdue","")</f>
        <v/>
      </c>
    </row>
    <row r="133" spans="1:15">
      <c r="A133" s="4" t="s">
        <v>109</v>
      </c>
      <c r="B133" s="1" t="s">
        <v>111</v>
      </c>
      <c r="C133" s="1" t="s">
        <v>114</v>
      </c>
      <c r="D133" s="1" t="s">
        <v>133</v>
      </c>
      <c r="E133" s="1" t="s">
        <v>105</v>
      </c>
      <c r="F133" s="1" t="s">
        <v>103</v>
      </c>
      <c r="G133" s="1" t="s">
        <v>105</v>
      </c>
      <c r="H133" s="5">
        <v>11134.39</v>
      </c>
      <c r="I133" s="6">
        <v>44695</v>
      </c>
      <c r="J133" s="14" t="str">
        <f>IF(AND(B133="Jsy",C133="EF"),"Attention!","")</f>
        <v/>
      </c>
      <c r="K133" s="7" t="str">
        <f>IF(OR(E133="No",F133="No",G133="No"),"Chase","")</f>
        <v>Chase</v>
      </c>
      <c r="L133" s="1" t="str">
        <f>IF(AND(C133="EF",D133="Moore"),"Review","")</f>
        <v/>
      </c>
      <c r="M133" s="1" t="str">
        <f>IF(OR(B133="Jsy",H133="&gt;10000"),"Priority","")</f>
        <v/>
      </c>
      <c r="N133" s="1" t="str">
        <f>IF(AND(E133="Yes",F133="Yes",G133="Yes"),"Completed","")</f>
        <v/>
      </c>
      <c r="O133" s="1" t="str">
        <f ca="1">IF(AND(B133="Jsy",I133&lt;=TODAY()),"Overdue","")</f>
        <v/>
      </c>
    </row>
    <row r="134" spans="1:15">
      <c r="A134" s="4" t="s">
        <v>109</v>
      </c>
      <c r="B134" s="1" t="s">
        <v>134</v>
      </c>
      <c r="C134" s="1" t="s">
        <v>114</v>
      </c>
      <c r="D134" s="1" t="s">
        <v>133</v>
      </c>
      <c r="E134" s="1" t="s">
        <v>105</v>
      </c>
      <c r="F134" s="1" t="s">
        <v>105</v>
      </c>
      <c r="G134" s="1" t="s">
        <v>105</v>
      </c>
      <c r="H134" s="5">
        <v>11943.41</v>
      </c>
      <c r="I134" s="6">
        <v>44700</v>
      </c>
      <c r="J134" s="14" t="str">
        <f>IF(AND(B134="Jsy",C134="EF"),"Attention!","")</f>
        <v/>
      </c>
      <c r="K134" s="7" t="str">
        <f>IF(OR(E134="No",F134="No",G134="No"),"Chase","")</f>
        <v>Chase</v>
      </c>
      <c r="L134" s="1" t="str">
        <f>IF(AND(C134="EF",D134="Moore"),"Review","")</f>
        <v/>
      </c>
      <c r="M134" s="1" t="str">
        <f>IF(OR(B134="Jsy",H134="&gt;10000"),"Priority","")</f>
        <v/>
      </c>
      <c r="N134" s="1" t="str">
        <f>IF(AND(E134="Yes",F134="Yes",G134="Yes"),"Completed","")</f>
        <v/>
      </c>
      <c r="O134" s="1" t="str">
        <f ca="1">IF(AND(B134="Jsy",I134&lt;=TODAY()),"Overdue","")</f>
        <v/>
      </c>
    </row>
    <row r="135" spans="1:15">
      <c r="A135" s="4" t="s">
        <v>109</v>
      </c>
      <c r="B135" s="1" t="s">
        <v>135</v>
      </c>
      <c r="C135" s="1" t="s">
        <v>114</v>
      </c>
      <c r="D135" s="1" t="s">
        <v>133</v>
      </c>
      <c r="E135" s="1" t="s">
        <v>105</v>
      </c>
      <c r="F135" s="1" t="s">
        <v>105</v>
      </c>
      <c r="G135" s="1" t="s">
        <v>105</v>
      </c>
      <c r="H135" s="5">
        <v>12243.75</v>
      </c>
      <c r="I135" s="6">
        <v>44683</v>
      </c>
      <c r="J135" s="14" t="str">
        <f>IF(AND(B135="Jsy",C135="EF"),"Attention!","")</f>
        <v/>
      </c>
      <c r="K135" s="7" t="str">
        <f>IF(OR(E135="No",F135="No",G135="No"),"Chase","")</f>
        <v>Chase</v>
      </c>
      <c r="L135" s="1" t="str">
        <f>IF(AND(C135="EF",D135="Moore"),"Review","")</f>
        <v/>
      </c>
      <c r="M135" s="1" t="str">
        <f>IF(OR(B135="Jsy",H135="&gt;10000"),"Priority","")</f>
        <v/>
      </c>
      <c r="N135" s="1" t="str">
        <f>IF(AND(E135="Yes",F135="Yes",G135="Yes"),"Completed","")</f>
        <v/>
      </c>
      <c r="O135" s="1" t="str">
        <f ca="1">IF(AND(B135="Jsy",I135&lt;=TODAY()),"Overdue","")</f>
        <v/>
      </c>
    </row>
    <row r="136" spans="1:15">
      <c r="A136" s="4" t="s">
        <v>109</v>
      </c>
      <c r="B136" s="1" t="s">
        <v>134</v>
      </c>
      <c r="C136" s="1" t="s">
        <v>114</v>
      </c>
      <c r="D136" s="1" t="s">
        <v>133</v>
      </c>
      <c r="E136" s="1" t="s">
        <v>105</v>
      </c>
      <c r="F136" s="1" t="s">
        <v>105</v>
      </c>
      <c r="G136" s="1" t="s">
        <v>105</v>
      </c>
      <c r="H136" s="5">
        <v>12350</v>
      </c>
      <c r="I136" s="6">
        <v>44668</v>
      </c>
      <c r="J136" s="14" t="str">
        <f>IF(AND(B136="Jsy",C136="EF"),"Attention!","")</f>
        <v/>
      </c>
      <c r="K136" s="7" t="str">
        <f>IF(OR(E136="No",F136="No",G136="No"),"Chase","")</f>
        <v>Chase</v>
      </c>
      <c r="L136" s="1" t="str">
        <f>IF(AND(C136="EF",D136="Moore"),"Review","")</f>
        <v/>
      </c>
      <c r="M136" s="1" t="str">
        <f>IF(OR(B136="Jsy",H136="&gt;10000"),"Priority","")</f>
        <v/>
      </c>
      <c r="N136" s="1" t="str">
        <f>IF(AND(E136="Yes",F136="Yes",G136="Yes"),"Completed","")</f>
        <v/>
      </c>
      <c r="O136" s="1" t="str">
        <f ca="1">IF(AND(B136="Jsy",I136&lt;=TODAY()),"Overdue","")</f>
        <v/>
      </c>
    </row>
    <row r="137" spans="1:15">
      <c r="A137" s="4" t="s">
        <v>109</v>
      </c>
      <c r="B137" s="1" t="s">
        <v>111</v>
      </c>
      <c r="C137" s="1" t="s">
        <v>114</v>
      </c>
      <c r="D137" s="1" t="s">
        <v>133</v>
      </c>
      <c r="E137" s="1" t="s">
        <v>105</v>
      </c>
      <c r="F137" s="1" t="s">
        <v>103</v>
      </c>
      <c r="G137" s="1" t="s">
        <v>105</v>
      </c>
      <c r="H137" s="5">
        <v>12842</v>
      </c>
      <c r="I137" s="6">
        <v>44723</v>
      </c>
      <c r="J137" s="14" t="str">
        <f>IF(AND(B137="Jsy",C137="EF"),"Attention!","")</f>
        <v/>
      </c>
      <c r="K137" s="7" t="str">
        <f>IF(OR(E137="No",F137="No",G137="No"),"Chase","")</f>
        <v>Chase</v>
      </c>
      <c r="L137" s="1" t="str">
        <f>IF(AND(C137="EF",D137="Moore"),"Review","")</f>
        <v/>
      </c>
      <c r="M137" s="1" t="str">
        <f>IF(OR(B137="Jsy",H137="&gt;10000"),"Priority","")</f>
        <v/>
      </c>
      <c r="N137" s="1" t="str">
        <f>IF(AND(E137="Yes",F137="Yes",G137="Yes"),"Completed","")</f>
        <v/>
      </c>
      <c r="O137" s="1" t="str">
        <f ca="1">IF(AND(B137="Jsy",I137&lt;=TODAY()),"Overdue","")</f>
        <v/>
      </c>
    </row>
    <row r="138" spans="1:15">
      <c r="A138" s="4" t="s">
        <v>109</v>
      </c>
      <c r="B138" s="1" t="s">
        <v>116</v>
      </c>
      <c r="C138" s="1" t="s">
        <v>114</v>
      </c>
      <c r="D138" s="1" t="s">
        <v>133</v>
      </c>
      <c r="E138" s="1" t="s">
        <v>105</v>
      </c>
      <c r="F138" s="1" t="s">
        <v>105</v>
      </c>
      <c r="G138" s="1" t="s">
        <v>105</v>
      </c>
      <c r="H138" s="5">
        <v>13100</v>
      </c>
      <c r="I138" s="6">
        <v>44674</v>
      </c>
      <c r="J138" s="14" t="str">
        <f>IF(AND(B138="Jsy",C138="EF"),"Attention!","")</f>
        <v/>
      </c>
      <c r="K138" s="7" t="str">
        <f>IF(OR(E138="No",F138="No",G138="No"),"Chase","")</f>
        <v>Chase</v>
      </c>
      <c r="L138" s="1" t="str">
        <f>IF(AND(C138="EF",D138="Moore"),"Review","")</f>
        <v/>
      </c>
      <c r="M138" s="1" t="str">
        <f>IF(OR(B138="Jsy",H138="&gt;10000"),"Priority","")</f>
        <v/>
      </c>
      <c r="N138" s="1" t="str">
        <f>IF(AND(E138="Yes",F138="Yes",G138="Yes"),"Completed","")</f>
        <v/>
      </c>
      <c r="O138" s="1" t="str">
        <f ca="1">IF(AND(B138="Jsy",I138&lt;=TODAY()),"Overdue","")</f>
        <v/>
      </c>
    </row>
    <row r="139" spans="1:15">
      <c r="A139" s="4" t="s">
        <v>109</v>
      </c>
      <c r="B139" s="1" t="s">
        <v>107</v>
      </c>
      <c r="C139" s="1" t="s">
        <v>120</v>
      </c>
      <c r="D139" s="1" t="s">
        <v>133</v>
      </c>
      <c r="E139" s="1" t="s">
        <v>103</v>
      </c>
      <c r="F139" s="1" t="s">
        <v>105</v>
      </c>
      <c r="G139" s="1" t="s">
        <v>105</v>
      </c>
      <c r="H139" s="5">
        <v>13465.5</v>
      </c>
      <c r="I139" s="6">
        <v>44285</v>
      </c>
      <c r="J139" s="14" t="str">
        <f>IF(AND(B139="Jsy",C139="EF"),"Attention!","")</f>
        <v/>
      </c>
      <c r="K139" s="7" t="str">
        <f>IF(OR(E139="No",F139="No",G139="No"),"Chase","")</f>
        <v>Chase</v>
      </c>
      <c r="L139" s="1" t="str">
        <f>IF(AND(C139="EF",D139="Moore"),"Review","")</f>
        <v/>
      </c>
      <c r="M139" s="1" t="str">
        <f>IF(OR(B139="Jsy",H139="&gt;10000"),"Priority","")</f>
        <v>Priority</v>
      </c>
      <c r="N139" s="1" t="str">
        <f>IF(AND(E139="Yes",F139="Yes",G139="Yes"),"Completed","")</f>
        <v/>
      </c>
      <c r="O139" s="1" t="str">
        <f ca="1">IF(AND(B139="Jsy",I139&lt;=TODAY()),"Overdue","")</f>
        <v>Overdue</v>
      </c>
    </row>
    <row r="140" spans="1:15">
      <c r="A140" s="4" t="s">
        <v>109</v>
      </c>
      <c r="B140" s="1" t="s">
        <v>111</v>
      </c>
      <c r="C140" s="1" t="s">
        <v>114</v>
      </c>
      <c r="D140" s="1" t="s">
        <v>133</v>
      </c>
      <c r="E140" s="1" t="s">
        <v>105</v>
      </c>
      <c r="F140" s="1" t="s">
        <v>103</v>
      </c>
      <c r="G140" s="1" t="s">
        <v>105</v>
      </c>
      <c r="H140" s="5">
        <v>13992.59</v>
      </c>
      <c r="I140" s="6">
        <v>44731</v>
      </c>
      <c r="J140" s="14" t="str">
        <f>IF(AND(B140="Jsy",C140="EF"),"Attention!","")</f>
        <v/>
      </c>
      <c r="K140" s="7" t="str">
        <f>IF(OR(E140="No",F140="No",G140="No"),"Chase","")</f>
        <v>Chase</v>
      </c>
      <c r="L140" s="1" t="str">
        <f>IF(AND(C140="EF",D140="Moore"),"Review","")</f>
        <v/>
      </c>
      <c r="M140" s="1" t="str">
        <f>IF(OR(B140="Jsy",H140="&gt;10000"),"Priority","")</f>
        <v/>
      </c>
      <c r="N140" s="1" t="str">
        <f>IF(AND(E140="Yes",F140="Yes",G140="Yes"),"Completed","")</f>
        <v/>
      </c>
      <c r="O140" s="1" t="str">
        <f ca="1">IF(AND(B140="Jsy",I140&lt;=TODAY()),"Overdue","")</f>
        <v/>
      </c>
    </row>
    <row r="141" spans="1:15">
      <c r="A141" s="4" t="s">
        <v>109</v>
      </c>
      <c r="B141" s="1" t="s">
        <v>107</v>
      </c>
      <c r="C141" s="1" t="s">
        <v>120</v>
      </c>
      <c r="D141" s="1" t="s">
        <v>133</v>
      </c>
      <c r="E141" s="1" t="s">
        <v>103</v>
      </c>
      <c r="F141" s="1" t="s">
        <v>105</v>
      </c>
      <c r="G141" s="1" t="s">
        <v>105</v>
      </c>
      <c r="H141" s="5">
        <v>14250</v>
      </c>
      <c r="I141" s="6">
        <v>44288</v>
      </c>
      <c r="J141" s="14" t="str">
        <f>IF(AND(B141="Jsy",C141="EF"),"Attention!","")</f>
        <v/>
      </c>
      <c r="K141" s="7" t="str">
        <f>IF(OR(E141="No",F141="No",G141="No"),"Chase","")</f>
        <v>Chase</v>
      </c>
      <c r="L141" s="1" t="str">
        <f>IF(AND(C141="EF",D141="Moore"),"Review","")</f>
        <v/>
      </c>
      <c r="M141" s="1" t="str">
        <f>IF(OR(B141="Jsy",H141="&gt;10000"),"Priority","")</f>
        <v>Priority</v>
      </c>
      <c r="N141" s="1" t="str">
        <f>IF(AND(E141="Yes",F141="Yes",G141="Yes"),"Completed","")</f>
        <v/>
      </c>
      <c r="O141" s="1" t="str">
        <f ca="1">IF(AND(B141="Jsy",I141&lt;=TODAY()),"Overdue","")</f>
        <v>Overdue</v>
      </c>
    </row>
    <row r="142" spans="1:15">
      <c r="A142" s="4" t="s">
        <v>109</v>
      </c>
      <c r="B142" s="1" t="s">
        <v>107</v>
      </c>
      <c r="C142" s="1" t="s">
        <v>120</v>
      </c>
      <c r="D142" s="1" t="s">
        <v>133</v>
      </c>
      <c r="E142" s="1" t="s">
        <v>103</v>
      </c>
      <c r="F142" s="1" t="s">
        <v>105</v>
      </c>
      <c r="G142" s="1" t="s">
        <v>105</v>
      </c>
      <c r="H142" s="5">
        <v>14640.5</v>
      </c>
      <c r="I142" s="6">
        <v>44683</v>
      </c>
      <c r="J142" s="14" t="str">
        <f>IF(AND(B142="Jsy",C142="EF"),"Attention!","")</f>
        <v/>
      </c>
      <c r="K142" s="7" t="str">
        <f>IF(OR(E142="No",F142="No",G142="No"),"Chase","")</f>
        <v>Chase</v>
      </c>
      <c r="L142" s="1" t="str">
        <f>IF(AND(C142="EF",D142="Moore"),"Review","")</f>
        <v/>
      </c>
      <c r="M142" s="1" t="str">
        <f>IF(OR(B142="Jsy",H142="&gt;10000"),"Priority","")</f>
        <v>Priority</v>
      </c>
      <c r="N142" s="1" t="str">
        <f>IF(AND(E142="Yes",F142="Yes",G142="Yes"),"Completed","")</f>
        <v/>
      </c>
      <c r="O142" s="1" t="str">
        <f ca="1">IF(AND(B142="Jsy",I142&lt;=TODAY()),"Overdue","")</f>
        <v>Overdue</v>
      </c>
    </row>
    <row r="143" spans="1:15">
      <c r="A143" s="4" t="s">
        <v>109</v>
      </c>
      <c r="B143" s="1" t="s">
        <v>134</v>
      </c>
      <c r="C143" s="1" t="s">
        <v>114</v>
      </c>
      <c r="D143" s="1" t="s">
        <v>133</v>
      </c>
      <c r="E143" s="1" t="s">
        <v>105</v>
      </c>
      <c r="F143" s="1" t="s">
        <v>105</v>
      </c>
      <c r="G143" s="1" t="s">
        <v>105</v>
      </c>
      <c r="H143" s="5">
        <v>15033.09</v>
      </c>
      <c r="I143" s="6">
        <v>44655</v>
      </c>
      <c r="J143" s="14" t="str">
        <f>IF(AND(B143="Jsy",C143="EF"),"Attention!","")</f>
        <v/>
      </c>
      <c r="K143" s="7" t="str">
        <f>IF(OR(E143="No",F143="No",G143="No"),"Chase","")</f>
        <v>Chase</v>
      </c>
      <c r="L143" s="1" t="str">
        <f>IF(AND(C143="EF",D143="Moore"),"Review","")</f>
        <v/>
      </c>
      <c r="M143" s="1" t="str">
        <f>IF(OR(B143="Jsy",H143="&gt;10000"),"Priority","")</f>
        <v/>
      </c>
      <c r="N143" s="1" t="str">
        <f>IF(AND(E143="Yes",F143="Yes",G143="Yes"),"Completed","")</f>
        <v/>
      </c>
      <c r="O143" s="1" t="str">
        <f ca="1">IF(AND(B143="Jsy",I143&lt;=TODAY()),"Overdue","")</f>
        <v/>
      </c>
    </row>
    <row r="144" spans="1:15">
      <c r="A144" s="4" t="s">
        <v>109</v>
      </c>
      <c r="B144" s="1" t="s">
        <v>107</v>
      </c>
      <c r="C144" s="1" t="s">
        <v>120</v>
      </c>
      <c r="D144" s="1" t="s">
        <v>133</v>
      </c>
      <c r="E144" s="1" t="s">
        <v>103</v>
      </c>
      <c r="F144" s="1" t="s">
        <v>105</v>
      </c>
      <c r="G144" s="1" t="s">
        <v>105</v>
      </c>
      <c r="H144" s="5">
        <v>17379.96</v>
      </c>
      <c r="I144" s="6">
        <v>44718</v>
      </c>
      <c r="J144" s="14" t="str">
        <f>IF(AND(B144="Jsy",C144="EF"),"Attention!","")</f>
        <v/>
      </c>
      <c r="K144" s="7" t="str">
        <f>IF(OR(E144="No",F144="No",G144="No"),"Chase","")</f>
        <v>Chase</v>
      </c>
      <c r="L144" s="1" t="str">
        <f>IF(AND(C144="EF",D144="Moore"),"Review","")</f>
        <v/>
      </c>
      <c r="M144" s="1" t="str">
        <f>IF(OR(B144="Jsy",H144="&gt;10000"),"Priority","")</f>
        <v>Priority</v>
      </c>
      <c r="N144" s="1" t="str">
        <f>IF(AND(E144="Yes",F144="Yes",G144="Yes"),"Completed","")</f>
        <v/>
      </c>
      <c r="O144" s="1" t="str">
        <f ca="1">IF(AND(B144="Jsy",I144&lt;=TODAY()),"Overdue","")</f>
        <v>Overdue</v>
      </c>
    </row>
    <row r="145" spans="1:15">
      <c r="A145" s="4" t="s">
        <v>109</v>
      </c>
      <c r="B145" s="1" t="s">
        <v>107</v>
      </c>
      <c r="C145" s="1" t="s">
        <v>120</v>
      </c>
      <c r="D145" s="1" t="s">
        <v>133</v>
      </c>
      <c r="E145" s="1" t="s">
        <v>103</v>
      </c>
      <c r="F145" s="1" t="s">
        <v>105</v>
      </c>
      <c r="G145" s="1" t="s">
        <v>105</v>
      </c>
      <c r="H145" s="5">
        <v>49926</v>
      </c>
      <c r="I145" s="6">
        <v>44637</v>
      </c>
      <c r="J145" s="14" t="str">
        <f>IF(AND(B145="Jsy",C145="EF"),"Attention!","")</f>
        <v/>
      </c>
      <c r="K145" s="7" t="str">
        <f>IF(OR(E145="No",F145="No",G145="No"),"Chase","")</f>
        <v>Chase</v>
      </c>
      <c r="L145" s="1" t="str">
        <f>IF(AND(C145="EF",D145="Moore"),"Review","")</f>
        <v/>
      </c>
      <c r="M145" s="1" t="str">
        <f>IF(OR(B145="Jsy",H145="&gt;10000"),"Priority","")</f>
        <v>Priority</v>
      </c>
      <c r="N145" s="1" t="str">
        <f>IF(AND(E145="Yes",F145="Yes",G145="Yes"),"Completed","")</f>
        <v/>
      </c>
      <c r="O145" s="1" t="str">
        <f ca="1">IF(AND(B145="Jsy",I145&lt;=TODAY()),"Overdue","")</f>
        <v>Overdue</v>
      </c>
    </row>
    <row r="146" spans="1:15">
      <c r="A146" s="4" t="s">
        <v>109</v>
      </c>
      <c r="B146" s="1" t="s">
        <v>107</v>
      </c>
      <c r="C146" s="1" t="s">
        <v>120</v>
      </c>
      <c r="D146" s="1" t="s">
        <v>133</v>
      </c>
      <c r="E146" s="1" t="s">
        <v>105</v>
      </c>
      <c r="F146" s="1" t="s">
        <v>105</v>
      </c>
      <c r="G146" s="1" t="s">
        <v>105</v>
      </c>
      <c r="H146" s="5">
        <v>49928</v>
      </c>
      <c r="I146" s="6">
        <v>44717</v>
      </c>
      <c r="J146" s="14" t="str">
        <f>IF(AND(B146="Jsy",C146="EF"),"Attention!","")</f>
        <v/>
      </c>
      <c r="K146" s="7" t="str">
        <f>IF(OR(E146="No",F146="No",G146="No"),"Chase","")</f>
        <v>Chase</v>
      </c>
      <c r="L146" s="1" t="str">
        <f>IF(AND(C146="EF",D146="Moore"),"Review","")</f>
        <v/>
      </c>
      <c r="M146" s="1" t="str">
        <f>IF(OR(B146="Jsy",H146="&gt;10000"),"Priority","")</f>
        <v>Priority</v>
      </c>
      <c r="N146" s="1" t="str">
        <f>IF(AND(E146="Yes",F146="Yes",G146="Yes"),"Completed","")</f>
        <v/>
      </c>
      <c r="O146" s="1" t="str">
        <f ca="1">IF(AND(B146="Jsy",I146&lt;=TODAY()),"Overdue","")</f>
        <v>Overdue</v>
      </c>
    </row>
    <row r="147" spans="1:15">
      <c r="A147" s="4" t="s">
        <v>109</v>
      </c>
      <c r="B147" s="1" t="s">
        <v>107</v>
      </c>
      <c r="C147" s="1" t="s">
        <v>120</v>
      </c>
      <c r="D147" s="1" t="s">
        <v>133</v>
      </c>
      <c r="E147" s="1" t="s">
        <v>103</v>
      </c>
      <c r="F147" s="1" t="s">
        <v>105</v>
      </c>
      <c r="G147" s="1" t="s">
        <v>105</v>
      </c>
      <c r="H147" s="5">
        <v>50050</v>
      </c>
      <c r="I147" s="6">
        <v>44269</v>
      </c>
      <c r="J147" s="14" t="str">
        <f>IF(AND(B147="Jsy",C147="EF"),"Attention!","")</f>
        <v/>
      </c>
      <c r="K147" s="7" t="str">
        <f>IF(OR(E147="No",F147="No",G147="No"),"Chase","")</f>
        <v>Chase</v>
      </c>
      <c r="L147" s="1" t="str">
        <f>IF(AND(C147="EF",D147="Moore"),"Review","")</f>
        <v/>
      </c>
      <c r="M147" s="1" t="str">
        <f>IF(OR(B147="Jsy",H147="&gt;10000"),"Priority","")</f>
        <v>Priority</v>
      </c>
      <c r="N147" s="1" t="str">
        <f>IF(AND(E147="Yes",F147="Yes",G147="Yes"),"Completed","")</f>
        <v/>
      </c>
      <c r="O147" s="1" t="str">
        <f ca="1">IF(AND(B147="Jsy",I147&lt;=TODAY()),"Overdue","")</f>
        <v>Overdue</v>
      </c>
    </row>
    <row r="148" spans="1:15">
      <c r="A148" s="4" t="s">
        <v>109</v>
      </c>
      <c r="B148" s="1" t="s">
        <v>107</v>
      </c>
      <c r="C148" s="1" t="s">
        <v>120</v>
      </c>
      <c r="D148" s="1" t="s">
        <v>133</v>
      </c>
      <c r="E148" s="1" t="s">
        <v>103</v>
      </c>
      <c r="F148" s="1" t="s">
        <v>105</v>
      </c>
      <c r="G148" s="1" t="s">
        <v>105</v>
      </c>
      <c r="H148" s="5">
        <v>51305</v>
      </c>
      <c r="I148" s="6">
        <v>44643</v>
      </c>
      <c r="J148" s="14" t="str">
        <f>IF(AND(B148="Jsy",C148="EF"),"Attention!","")</f>
        <v/>
      </c>
      <c r="K148" s="7" t="str">
        <f>IF(OR(E148="No",F148="No",G148="No"),"Chase","")</f>
        <v>Chase</v>
      </c>
      <c r="L148" s="1" t="str">
        <f>IF(AND(C148="EF",D148="Moore"),"Review","")</f>
        <v/>
      </c>
      <c r="M148" s="1" t="str">
        <f>IF(OR(B148="Jsy",H148="&gt;10000"),"Priority","")</f>
        <v>Priority</v>
      </c>
      <c r="N148" s="1" t="str">
        <f>IF(AND(E148="Yes",F148="Yes",G148="Yes"),"Completed","")</f>
        <v/>
      </c>
      <c r="O148" s="1" t="str">
        <f ca="1">IF(AND(B148="Jsy",I148&lt;=TODAY()),"Overdue","")</f>
        <v>Overdue</v>
      </c>
    </row>
    <row r="149" spans="1:15">
      <c r="A149" s="4" t="s">
        <v>100</v>
      </c>
      <c r="B149" s="1" t="s">
        <v>135</v>
      </c>
      <c r="C149" s="1" t="s">
        <v>114</v>
      </c>
      <c r="D149" s="1" t="s">
        <v>133</v>
      </c>
      <c r="E149" s="1" t="s">
        <v>103</v>
      </c>
      <c r="F149" s="1" t="s">
        <v>104</v>
      </c>
      <c r="G149" s="1" t="s">
        <v>105</v>
      </c>
      <c r="H149" s="5">
        <v>51380.1</v>
      </c>
      <c r="I149" s="6">
        <f ca="1">TODAY()+30</f>
        <v>45400</v>
      </c>
      <c r="J149" s="14" t="str">
        <f>IF(AND(B149="Jsy",C149="EF"),"Attention!","")</f>
        <v/>
      </c>
      <c r="K149" s="7" t="str">
        <f>IF(OR(E149="No",F149="No",G149="No"),"Chase","")</f>
        <v>Chase</v>
      </c>
      <c r="L149" s="1" t="str">
        <f>IF(AND(C149="EF",D149="Moore"),"Review","")</f>
        <v/>
      </c>
      <c r="M149" s="1" t="str">
        <f>IF(OR(B149="Jsy",H149="&gt;10000"),"Priority","")</f>
        <v/>
      </c>
      <c r="N149" s="1" t="str">
        <f>IF(AND(E149="Yes",F149="Yes",G149="Yes"),"Completed","")</f>
        <v/>
      </c>
      <c r="O149" s="1" t="str">
        <f ca="1">IF(AND(B149="Jsy",I149&lt;=TODAY()),"Overdue","")</f>
        <v/>
      </c>
    </row>
    <row r="150" spans="1:15">
      <c r="A150" s="4" t="s">
        <v>109</v>
      </c>
      <c r="B150" s="1" t="s">
        <v>134</v>
      </c>
      <c r="C150" s="1" t="s">
        <v>114</v>
      </c>
      <c r="D150" s="1" t="s">
        <v>133</v>
      </c>
      <c r="E150" s="1" t="s">
        <v>105</v>
      </c>
      <c r="F150" s="1" t="s">
        <v>105</v>
      </c>
      <c r="G150" s="1" t="s">
        <v>105</v>
      </c>
      <c r="H150" s="5">
        <v>51417</v>
      </c>
      <c r="I150" s="6">
        <v>44645</v>
      </c>
      <c r="J150" s="14" t="str">
        <f>IF(AND(B150="Jsy",C150="EF"),"Attention!","")</f>
        <v/>
      </c>
      <c r="K150" s="7" t="str">
        <f>IF(OR(E150="No",F150="No",G150="No"),"Chase","")</f>
        <v>Chase</v>
      </c>
      <c r="L150" s="1" t="str">
        <f>IF(AND(C150="EF",D150="Moore"),"Review","")</f>
        <v/>
      </c>
      <c r="M150" s="1" t="str">
        <f>IF(OR(B150="Jsy",H150="&gt;10000"),"Priority","")</f>
        <v/>
      </c>
      <c r="N150" s="1" t="str">
        <f>IF(AND(E150="Yes",F150="Yes",G150="Yes"),"Completed","")</f>
        <v/>
      </c>
      <c r="O150" s="1" t="str">
        <f ca="1">IF(AND(B150="Jsy",I150&lt;=TODAY()),"Overdue","")</f>
        <v/>
      </c>
    </row>
    <row r="151" spans="1:15">
      <c r="A151" s="4" t="s">
        <v>109</v>
      </c>
      <c r="B151" s="1" t="s">
        <v>107</v>
      </c>
      <c r="C151" s="1" t="s">
        <v>114</v>
      </c>
      <c r="D151" s="1" t="s">
        <v>133</v>
      </c>
      <c r="E151" s="1" t="s">
        <v>103</v>
      </c>
      <c r="F151" s="1" t="s">
        <v>105</v>
      </c>
      <c r="G151" s="1" t="s">
        <v>105</v>
      </c>
      <c r="H151" s="5">
        <v>51462</v>
      </c>
      <c r="I151" s="6">
        <v>44639</v>
      </c>
      <c r="J151" s="14" t="str">
        <f>IF(AND(B151="Jsy",C151="EF"),"Attention!","")</f>
        <v>Attention!</v>
      </c>
      <c r="K151" s="7" t="str">
        <f>IF(OR(E151="No",F151="No",G151="No"),"Chase","")</f>
        <v>Chase</v>
      </c>
      <c r="L151" s="1" t="str">
        <f>IF(AND(C151="EF",D151="Moore"),"Review","")</f>
        <v/>
      </c>
      <c r="M151" s="1" t="str">
        <f>IF(OR(B151="Jsy",H151="&gt;10000"),"Priority","")</f>
        <v>Priority</v>
      </c>
      <c r="N151" s="1" t="str">
        <f>IF(AND(E151="Yes",F151="Yes",G151="Yes"),"Completed","")</f>
        <v/>
      </c>
      <c r="O151" s="1" t="str">
        <f ca="1">IF(AND(B151="Jsy",I151&lt;=TODAY()),"Overdue","")</f>
        <v>Overdue</v>
      </c>
    </row>
    <row r="152" spans="1:15">
      <c r="A152" s="4" t="s">
        <v>100</v>
      </c>
      <c r="B152" s="1" t="s">
        <v>111</v>
      </c>
      <c r="C152" s="1" t="s">
        <v>114</v>
      </c>
      <c r="D152" s="1" t="s">
        <v>133</v>
      </c>
      <c r="E152" s="1" t="s">
        <v>103</v>
      </c>
      <c r="F152" s="1" t="s">
        <v>104</v>
      </c>
      <c r="G152" s="1" t="s">
        <v>105</v>
      </c>
      <c r="H152" s="5">
        <v>52703</v>
      </c>
      <c r="I152" s="6">
        <v>44258</v>
      </c>
      <c r="J152" s="14" t="str">
        <f>IF(AND(B152="Jsy",C152="EF"),"Attention!","")</f>
        <v/>
      </c>
      <c r="K152" s="7" t="str">
        <f>IF(OR(E152="No",F152="No",G152="No"),"Chase","")</f>
        <v>Chase</v>
      </c>
      <c r="L152" s="1" t="str">
        <f>IF(AND(C152="EF",D152="Moore"),"Review","")</f>
        <v/>
      </c>
      <c r="M152" s="1" t="str">
        <f>IF(OR(B152="Jsy",H152="&gt;10000"),"Priority","")</f>
        <v/>
      </c>
      <c r="N152" s="1" t="str">
        <f>IF(AND(E152="Yes",F152="Yes",G152="Yes"),"Completed","")</f>
        <v/>
      </c>
      <c r="O152" s="1" t="str">
        <f ca="1">IF(AND(B152="Jsy",I152&lt;=TODAY()),"Overdue","")</f>
        <v/>
      </c>
    </row>
    <row r="153" spans="1:15">
      <c r="A153" s="4" t="s">
        <v>109</v>
      </c>
      <c r="B153" s="1" t="s">
        <v>107</v>
      </c>
      <c r="C153" s="1" t="s">
        <v>120</v>
      </c>
      <c r="D153" s="1" t="s">
        <v>133</v>
      </c>
      <c r="E153" s="1" t="s">
        <v>105</v>
      </c>
      <c r="F153" s="1" t="s">
        <v>105</v>
      </c>
      <c r="G153" s="1" t="s">
        <v>105</v>
      </c>
      <c r="H153" s="5">
        <v>55873.599999999999</v>
      </c>
      <c r="I153" s="6">
        <v>44668</v>
      </c>
      <c r="J153" s="14" t="str">
        <f>IF(AND(B153="Jsy",C153="EF"),"Attention!","")</f>
        <v/>
      </c>
      <c r="K153" s="7" t="str">
        <f>IF(OR(E153="No",F153="No",G153="No"),"Chase","")</f>
        <v>Chase</v>
      </c>
      <c r="L153" s="1" t="str">
        <f>IF(AND(C153="EF",D153="Moore"),"Review","")</f>
        <v/>
      </c>
      <c r="M153" s="1" t="str">
        <f>IF(OR(B153="Jsy",H153="&gt;10000"),"Priority","")</f>
        <v>Priority</v>
      </c>
      <c r="N153" s="1" t="str">
        <f>IF(AND(E153="Yes",F153="Yes",G153="Yes"),"Completed","")</f>
        <v/>
      </c>
      <c r="O153" s="1" t="str">
        <f ca="1">IF(AND(B153="Jsy",I153&lt;=TODAY()),"Overdue","")</f>
        <v>Overdue</v>
      </c>
    </row>
    <row r="154" spans="1:15">
      <c r="A154" s="4" t="s">
        <v>106</v>
      </c>
      <c r="B154" s="1" t="s">
        <v>101</v>
      </c>
      <c r="C154" s="1" t="s">
        <v>123</v>
      </c>
      <c r="D154" s="1" t="s">
        <v>25</v>
      </c>
      <c r="E154" s="1" t="s">
        <v>103</v>
      </c>
      <c r="F154" s="1" t="s">
        <v>104</v>
      </c>
      <c r="G154" s="1" t="s">
        <v>105</v>
      </c>
      <c r="H154" s="5">
        <v>10600</v>
      </c>
      <c r="I154" s="6">
        <v>44258</v>
      </c>
      <c r="J154" s="14" t="str">
        <f>IF(AND(B154="Jsy",C154="EF"),"Attention!","")</f>
        <v/>
      </c>
      <c r="K154" s="7" t="str">
        <f>IF(OR(E154="No",F154="No",G154="No"),"Chase","")</f>
        <v>Chase</v>
      </c>
      <c r="L154" s="1" t="str">
        <f>IF(AND(C154="EF",D154="Moore"),"Review","")</f>
        <v/>
      </c>
      <c r="M154" s="1" t="str">
        <f>IF(OR(B154="Jsy",H154="&gt;10000"),"Priority","")</f>
        <v/>
      </c>
      <c r="N154" s="1" t="str">
        <f>IF(AND(E154="Yes",F154="Yes",G154="Yes"),"Completed","")</f>
        <v/>
      </c>
      <c r="O154" s="1" t="str">
        <f ca="1">IF(AND(B154="Jsy",I154&lt;=TODAY()),"Overdue","")</f>
        <v/>
      </c>
    </row>
    <row r="155" spans="1:15">
      <c r="A155" s="4" t="s">
        <v>100</v>
      </c>
      <c r="B155" s="1" t="s">
        <v>101</v>
      </c>
      <c r="C155" s="1" t="s">
        <v>123</v>
      </c>
      <c r="D155" s="1" t="s">
        <v>25</v>
      </c>
      <c r="E155" s="1" t="s">
        <v>103</v>
      </c>
      <c r="F155" s="1" t="s">
        <v>104</v>
      </c>
      <c r="G155" s="1" t="s">
        <v>103</v>
      </c>
      <c r="H155" s="5">
        <v>11299</v>
      </c>
      <c r="I155" s="6">
        <v>44340</v>
      </c>
      <c r="J155" s="14" t="str">
        <f>IF(AND(B155="Jsy",C155="EF"),"Attention!","")</f>
        <v/>
      </c>
      <c r="K155" s="7" t="str">
        <f>IF(OR(E155="No",F155="No",G155="No"),"Chase","")</f>
        <v/>
      </c>
      <c r="L155" s="1" t="str">
        <f>IF(AND(C155="EF",D155="Moore"),"Review","")</f>
        <v/>
      </c>
      <c r="M155" s="1" t="str">
        <f>IF(OR(B155="Jsy",H155="&gt;10000"),"Priority","")</f>
        <v/>
      </c>
      <c r="N155" s="1" t="str">
        <f>IF(AND(E155="Yes",F155="Yes",G155="Yes"),"Completed","")</f>
        <v>Completed</v>
      </c>
      <c r="O155" s="1" t="str">
        <f ca="1">IF(AND(B155="Jsy",I155&lt;=TODAY()),"Overdue","")</f>
        <v/>
      </c>
    </row>
    <row r="156" spans="1:15">
      <c r="A156" s="4" t="s">
        <v>109</v>
      </c>
      <c r="B156" s="1" t="s">
        <v>101</v>
      </c>
      <c r="C156" s="1" t="s">
        <v>123</v>
      </c>
      <c r="D156" s="1" t="s">
        <v>25</v>
      </c>
      <c r="E156" s="1" t="s">
        <v>105</v>
      </c>
      <c r="F156" s="1" t="s">
        <v>105</v>
      </c>
      <c r="G156" s="1" t="s">
        <v>105</v>
      </c>
      <c r="H156" s="5">
        <v>12948</v>
      </c>
      <c r="I156" s="6">
        <v>44662</v>
      </c>
      <c r="J156" s="14" t="str">
        <f>IF(AND(B156="Jsy",C156="EF"),"Attention!","")</f>
        <v/>
      </c>
      <c r="K156" s="7" t="str">
        <f>IF(OR(E156="No",F156="No",G156="No"),"Chase","")</f>
        <v>Chase</v>
      </c>
      <c r="L156" s="1" t="str">
        <f>IF(AND(C156="EF",D156="Moore"),"Review","")</f>
        <v/>
      </c>
      <c r="M156" s="1" t="str">
        <f>IF(OR(B156="Jsy",H156="&gt;10000"),"Priority","")</f>
        <v/>
      </c>
      <c r="N156" s="1" t="str">
        <f>IF(AND(E156="Yes",F156="Yes",G156="Yes"),"Completed","")</f>
        <v/>
      </c>
      <c r="O156" s="1" t="str">
        <f ca="1">IF(AND(B156="Jsy",I156&lt;=TODAY()),"Overdue","")</f>
        <v/>
      </c>
    </row>
    <row r="157" spans="1:15">
      <c r="A157" s="4" t="s">
        <v>109</v>
      </c>
      <c r="B157" s="1" t="s">
        <v>101</v>
      </c>
      <c r="C157" s="1" t="s">
        <v>123</v>
      </c>
      <c r="D157" s="1" t="s">
        <v>25</v>
      </c>
      <c r="E157" s="1" t="s">
        <v>105</v>
      </c>
      <c r="F157" s="1" t="s">
        <v>105</v>
      </c>
      <c r="G157" s="1" t="s">
        <v>105</v>
      </c>
      <c r="H157" s="5">
        <v>16074.5</v>
      </c>
      <c r="I157" s="6">
        <v>44727</v>
      </c>
      <c r="J157" s="14" t="str">
        <f>IF(AND(B157="Jsy",C157="EF"),"Attention!","")</f>
        <v/>
      </c>
      <c r="K157" s="7" t="str">
        <f>IF(OR(E157="No",F157="No",G157="No"),"Chase","")</f>
        <v>Chase</v>
      </c>
      <c r="L157" s="1" t="str">
        <f>IF(AND(C157="EF",D157="Moore"),"Review","")</f>
        <v/>
      </c>
      <c r="M157" s="1" t="str">
        <f>IF(OR(B157="Jsy",H157="&gt;10000"),"Priority","")</f>
        <v/>
      </c>
      <c r="N157" s="1" t="str">
        <f>IF(AND(E157="Yes",F157="Yes",G157="Yes"),"Completed","")</f>
        <v/>
      </c>
      <c r="O157" s="1" t="str">
        <f ca="1">IF(AND(B157="Jsy",I157&lt;=TODAY()),"Overdue","")</f>
        <v/>
      </c>
    </row>
    <row r="158" spans="1:15">
      <c r="A158" s="4" t="s">
        <v>109</v>
      </c>
      <c r="B158" s="1" t="s">
        <v>107</v>
      </c>
      <c r="C158" s="1" t="s">
        <v>108</v>
      </c>
      <c r="D158" s="1" t="s">
        <v>136</v>
      </c>
      <c r="E158" s="1" t="s">
        <v>105</v>
      </c>
      <c r="F158" s="1" t="s">
        <v>105</v>
      </c>
      <c r="G158" s="1" t="s">
        <v>105</v>
      </c>
      <c r="H158" s="5">
        <v>8825</v>
      </c>
      <c r="I158" s="6">
        <v>44692</v>
      </c>
      <c r="J158" s="14" t="str">
        <f>IF(AND(B158="Jsy",C158="EF"),"Attention!","")</f>
        <v/>
      </c>
      <c r="K158" s="7" t="str">
        <f>IF(OR(E158="No",F158="No",G158="No"),"Chase","")</f>
        <v>Chase</v>
      </c>
      <c r="L158" s="1" t="str">
        <f>IF(AND(C158="EF",D158="Moore"),"Review","")</f>
        <v/>
      </c>
      <c r="M158" s="1" t="str">
        <f>IF(OR(B158="Jsy",H158="&gt;10000"),"Priority","")</f>
        <v>Priority</v>
      </c>
      <c r="N158" s="1" t="str">
        <f>IF(AND(E158="Yes",F158="Yes",G158="Yes"),"Completed","")</f>
        <v/>
      </c>
      <c r="O158" s="1" t="str">
        <f ca="1">IF(AND(B158="Jsy",I158&lt;=TODAY()),"Overdue","")</f>
        <v>Overdue</v>
      </c>
    </row>
    <row r="159" spans="1:15">
      <c r="A159" s="4" t="s">
        <v>109</v>
      </c>
      <c r="B159" s="1" t="s">
        <v>107</v>
      </c>
      <c r="C159" s="1" t="s">
        <v>108</v>
      </c>
      <c r="D159" s="1" t="s">
        <v>136</v>
      </c>
      <c r="E159" s="1" t="s">
        <v>103</v>
      </c>
      <c r="F159" s="1" t="s">
        <v>105</v>
      </c>
      <c r="G159" s="1" t="s">
        <v>105</v>
      </c>
      <c r="H159" s="5">
        <v>9420.5</v>
      </c>
      <c r="I159" s="6">
        <v>44720</v>
      </c>
      <c r="J159" s="14" t="str">
        <f>IF(AND(B159="Jsy",C159="EF"),"Attention!","")</f>
        <v/>
      </c>
      <c r="K159" s="7" t="str">
        <f>IF(OR(E159="No",F159="No",G159="No"),"Chase","")</f>
        <v>Chase</v>
      </c>
      <c r="L159" s="1" t="str">
        <f>IF(AND(C159="EF",D159="Moore"),"Review","")</f>
        <v/>
      </c>
      <c r="M159" s="1" t="str">
        <f>IF(OR(B159="Jsy",H159="&gt;10000"),"Priority","")</f>
        <v>Priority</v>
      </c>
      <c r="N159" s="1" t="str">
        <f>IF(AND(E159="Yes",F159="Yes",G159="Yes"),"Completed","")</f>
        <v/>
      </c>
      <c r="O159" s="1" t="str">
        <f ca="1">IF(AND(B159="Jsy",I159&lt;=TODAY()),"Overdue","")</f>
        <v>Overdue</v>
      </c>
    </row>
    <row r="160" spans="1:15">
      <c r="A160" s="4" t="s">
        <v>106</v>
      </c>
      <c r="B160" s="1" t="s">
        <v>101</v>
      </c>
      <c r="C160" s="1" t="s">
        <v>108</v>
      </c>
      <c r="D160" s="1" t="s">
        <v>136</v>
      </c>
      <c r="E160" s="1" t="s">
        <v>103</v>
      </c>
      <c r="F160" s="1" t="s">
        <v>104</v>
      </c>
      <c r="G160" s="1" t="s">
        <v>105</v>
      </c>
      <c r="H160" s="5">
        <v>10561.5</v>
      </c>
      <c r="I160" s="6">
        <v>44368</v>
      </c>
      <c r="J160" s="14" t="str">
        <f>IF(AND(B160="Jsy",C160="EF"),"Attention!","")</f>
        <v/>
      </c>
      <c r="K160" s="7" t="str">
        <f>IF(OR(E160="No",F160="No",G160="No"),"Chase","")</f>
        <v>Chase</v>
      </c>
      <c r="L160" s="1" t="str">
        <f>IF(AND(C160="EF",D160="Moore"),"Review","")</f>
        <v/>
      </c>
      <c r="M160" s="1" t="str">
        <f>IF(OR(B160="Jsy",H160="&gt;10000"),"Priority","")</f>
        <v/>
      </c>
      <c r="N160" s="1" t="str">
        <f>IF(AND(E160="Yes",F160="Yes",G160="Yes"),"Completed","")</f>
        <v/>
      </c>
      <c r="O160" s="1" t="str">
        <f ca="1">IF(AND(B160="Jsy",I160&lt;=TODAY()),"Overdue","")</f>
        <v/>
      </c>
    </row>
    <row r="161" spans="1:15">
      <c r="A161" s="4" t="s">
        <v>109</v>
      </c>
      <c r="B161" s="1" t="s">
        <v>107</v>
      </c>
      <c r="C161" s="1" t="s">
        <v>108</v>
      </c>
      <c r="D161" s="1" t="s">
        <v>136</v>
      </c>
      <c r="E161" s="1" t="s">
        <v>103</v>
      </c>
      <c r="F161" s="1" t="s">
        <v>105</v>
      </c>
      <c r="G161" s="1" t="s">
        <v>105</v>
      </c>
      <c r="H161" s="5">
        <v>11500</v>
      </c>
      <c r="I161" s="6">
        <v>44621</v>
      </c>
      <c r="J161" s="14" t="str">
        <f>IF(AND(B161="Jsy",C161="EF"),"Attention!","")</f>
        <v/>
      </c>
      <c r="K161" s="7" t="str">
        <f>IF(OR(E161="No",F161="No",G161="No"),"Chase","")</f>
        <v>Chase</v>
      </c>
      <c r="L161" s="1" t="str">
        <f>IF(AND(C161="EF",D161="Moore"),"Review","")</f>
        <v/>
      </c>
      <c r="M161" s="1" t="str">
        <f>IF(OR(B161="Jsy",H161="&gt;10000"),"Priority","")</f>
        <v>Priority</v>
      </c>
      <c r="N161" s="1" t="str">
        <f>IF(AND(E161="Yes",F161="Yes",G161="Yes"),"Completed","")</f>
        <v/>
      </c>
      <c r="O161" s="1" t="str">
        <f ca="1">IF(AND(B161="Jsy",I161&lt;=TODAY()),"Overdue","")</f>
        <v>Overdue</v>
      </c>
    </row>
    <row r="162" spans="1:15">
      <c r="A162" s="4" t="s">
        <v>109</v>
      </c>
      <c r="B162" s="1" t="s">
        <v>101</v>
      </c>
      <c r="C162" s="1" t="s">
        <v>108</v>
      </c>
      <c r="D162" s="1" t="s">
        <v>136</v>
      </c>
      <c r="E162" s="1" t="s">
        <v>105</v>
      </c>
      <c r="F162" s="1" t="s">
        <v>105</v>
      </c>
      <c r="G162" s="1" t="s">
        <v>105</v>
      </c>
      <c r="H162" s="5">
        <v>11516.47</v>
      </c>
      <c r="I162" s="6">
        <v>44675</v>
      </c>
      <c r="J162" s="14" t="str">
        <f>IF(AND(B162="Jsy",C162="EF"),"Attention!","")</f>
        <v/>
      </c>
      <c r="K162" s="7" t="str">
        <f>IF(OR(E162="No",F162="No",G162="No"),"Chase","")</f>
        <v>Chase</v>
      </c>
      <c r="L162" s="1" t="str">
        <f>IF(AND(C162="EF",D162="Moore"),"Review","")</f>
        <v/>
      </c>
      <c r="M162" s="1" t="str">
        <f>IF(OR(B162="Jsy",H162="&gt;10000"),"Priority","")</f>
        <v/>
      </c>
      <c r="N162" s="1" t="str">
        <f>IF(AND(E162="Yes",F162="Yes",G162="Yes"),"Completed","")</f>
        <v/>
      </c>
      <c r="O162" s="1" t="str">
        <f ca="1">IF(AND(B162="Jsy",I162&lt;=TODAY()),"Overdue","")</f>
        <v/>
      </c>
    </row>
    <row r="163" spans="1:15">
      <c r="A163" s="4" t="s">
        <v>109</v>
      </c>
      <c r="B163" s="1" t="s">
        <v>107</v>
      </c>
      <c r="C163" s="1" t="s">
        <v>108</v>
      </c>
      <c r="D163" s="1" t="s">
        <v>136</v>
      </c>
      <c r="E163" s="1" t="s">
        <v>105</v>
      </c>
      <c r="F163" s="1" t="s">
        <v>105</v>
      </c>
      <c r="G163" s="1" t="s">
        <v>105</v>
      </c>
      <c r="H163" s="5">
        <v>12000</v>
      </c>
      <c r="I163" s="6">
        <v>44714</v>
      </c>
      <c r="J163" s="14" t="str">
        <f>IF(AND(B163="Jsy",C163="EF"),"Attention!","")</f>
        <v/>
      </c>
      <c r="K163" s="7" t="str">
        <f>IF(OR(E163="No",F163="No",G163="No"),"Chase","")</f>
        <v>Chase</v>
      </c>
      <c r="L163" s="1" t="str">
        <f>IF(AND(C163="EF",D163="Moore"),"Review","")</f>
        <v/>
      </c>
      <c r="M163" s="1" t="str">
        <f>IF(OR(B163="Jsy",H163="&gt;10000"),"Priority","")</f>
        <v>Priority</v>
      </c>
      <c r="N163" s="1" t="str">
        <f>IF(AND(E163="Yes",F163="Yes",G163="Yes"),"Completed","")</f>
        <v/>
      </c>
      <c r="O163" s="1" t="str">
        <f ca="1">IF(AND(B163="Jsy",I163&lt;=TODAY()),"Overdue","")</f>
        <v>Overdue</v>
      </c>
    </row>
    <row r="164" spans="1:15">
      <c r="A164" s="4" t="s">
        <v>109</v>
      </c>
      <c r="B164" s="1" t="s">
        <v>111</v>
      </c>
      <c r="C164" s="1" t="s">
        <v>137</v>
      </c>
      <c r="D164" s="1" t="s">
        <v>136</v>
      </c>
      <c r="E164" s="1" t="s">
        <v>105</v>
      </c>
      <c r="F164" s="1" t="s">
        <v>103</v>
      </c>
      <c r="G164" s="1" t="s">
        <v>105</v>
      </c>
      <c r="H164" s="5">
        <v>12790</v>
      </c>
      <c r="I164" s="6">
        <v>44700</v>
      </c>
      <c r="J164" s="14" t="str">
        <f>IF(AND(B164="Jsy",C164="EF"),"Attention!","")</f>
        <v/>
      </c>
      <c r="K164" s="7" t="str">
        <f>IF(OR(E164="No",F164="No",G164="No"),"Chase","")</f>
        <v>Chase</v>
      </c>
      <c r="L164" s="1" t="str">
        <f>IF(AND(C164="EF",D164="Moore"),"Review","")</f>
        <v/>
      </c>
      <c r="M164" s="1" t="str">
        <f>IF(OR(B164="Jsy",H164="&gt;10000"),"Priority","")</f>
        <v/>
      </c>
      <c r="N164" s="1" t="str">
        <f>IF(AND(E164="Yes",F164="Yes",G164="Yes"),"Completed","")</f>
        <v/>
      </c>
      <c r="O164" s="1" t="str">
        <f ca="1">IF(AND(B164="Jsy",I164&lt;=TODAY()),"Overdue","")</f>
        <v/>
      </c>
    </row>
    <row r="165" spans="1:15">
      <c r="A165" s="4" t="s">
        <v>100</v>
      </c>
      <c r="B165" s="157" t="s">
        <v>107</v>
      </c>
      <c r="C165" s="1" t="s">
        <v>137</v>
      </c>
      <c r="D165" s="1" t="s">
        <v>136</v>
      </c>
      <c r="E165" s="1" t="s">
        <v>103</v>
      </c>
      <c r="F165" s="1" t="s">
        <v>105</v>
      </c>
      <c r="G165" s="1" t="s">
        <v>105</v>
      </c>
      <c r="H165" s="5">
        <v>13200</v>
      </c>
      <c r="I165" s="6">
        <v>44228</v>
      </c>
      <c r="J165" s="14" t="str">
        <f>IF(AND(B165="Jsy",C165="EF"),"Attention!","")</f>
        <v/>
      </c>
      <c r="K165" s="7" t="str">
        <f>IF(OR(E165="No",F165="No",G165="No"),"Chase","")</f>
        <v>Chase</v>
      </c>
      <c r="L165" s="1" t="str">
        <f>IF(AND(C165="EF",D165="Moore"),"Review","")</f>
        <v/>
      </c>
      <c r="M165" s="1" t="str">
        <f>IF(OR(B165="Jsy",H165="&gt;10000"),"Priority","")</f>
        <v>Priority</v>
      </c>
      <c r="N165" s="1" t="str">
        <f>IF(AND(E165="Yes",F165="Yes",G165="Yes"),"Completed","")</f>
        <v/>
      </c>
      <c r="O165" s="1" t="str">
        <f ca="1">IF(AND(B165="Jsy",I165&lt;=TODAY()),"Overdue","")</f>
        <v>Overdue</v>
      </c>
    </row>
    <row r="166" spans="1:15">
      <c r="A166" s="4" t="s">
        <v>109</v>
      </c>
      <c r="B166" s="1" t="s">
        <v>111</v>
      </c>
      <c r="C166" s="1" t="s">
        <v>108</v>
      </c>
      <c r="D166" s="1" t="s">
        <v>136</v>
      </c>
      <c r="E166" s="1" t="s">
        <v>105</v>
      </c>
      <c r="F166" s="1" t="s">
        <v>103</v>
      </c>
      <c r="G166" s="1" t="s">
        <v>105</v>
      </c>
      <c r="H166" s="5">
        <v>14145.5</v>
      </c>
      <c r="I166" s="6">
        <v>44641</v>
      </c>
      <c r="J166" s="14" t="str">
        <f>IF(AND(B166="Jsy",C166="EF"),"Attention!","")</f>
        <v/>
      </c>
      <c r="K166" s="7" t="str">
        <f>IF(OR(E166="No",F166="No",G166="No"),"Chase","")</f>
        <v>Chase</v>
      </c>
      <c r="L166" s="1" t="str">
        <f>IF(AND(C166="EF",D166="Moore"),"Review","")</f>
        <v/>
      </c>
      <c r="M166" s="1" t="str">
        <f>IF(OR(B166="Jsy",H166="&gt;10000"),"Priority","")</f>
        <v/>
      </c>
      <c r="N166" s="1" t="str">
        <f>IF(AND(E166="Yes",F166="Yes",G166="Yes"),"Completed","")</f>
        <v/>
      </c>
      <c r="O166" s="1" t="str">
        <f ca="1">IF(AND(B166="Jsy",I166&lt;=TODAY()),"Overdue","")</f>
        <v/>
      </c>
    </row>
    <row r="167" spans="1:15">
      <c r="A167" s="4" t="s">
        <v>109</v>
      </c>
      <c r="B167" s="1" t="s">
        <v>111</v>
      </c>
      <c r="C167" s="1" t="s">
        <v>137</v>
      </c>
      <c r="D167" s="1" t="s">
        <v>136</v>
      </c>
      <c r="E167" s="1" t="s">
        <v>105</v>
      </c>
      <c r="F167" s="1" t="s">
        <v>103</v>
      </c>
      <c r="G167" s="1" t="s">
        <v>105</v>
      </c>
      <c r="H167" s="5">
        <v>18936.849999999999</v>
      </c>
      <c r="I167" s="6">
        <v>44618</v>
      </c>
      <c r="J167" s="14" t="str">
        <f>IF(AND(B167="Jsy",C167="EF"),"Attention!","")</f>
        <v/>
      </c>
      <c r="K167" s="7" t="str">
        <f>IF(OR(E167="No",F167="No",G167="No"),"Chase","")</f>
        <v>Chase</v>
      </c>
      <c r="L167" s="1" t="str">
        <f>IF(AND(C167="EF",D167="Moore"),"Review","")</f>
        <v/>
      </c>
      <c r="M167" s="1" t="str">
        <f>IF(OR(B167="Jsy",H167="&gt;10000"),"Priority","")</f>
        <v/>
      </c>
      <c r="N167" s="1" t="str">
        <f>IF(AND(E167="Yes",F167="Yes",G167="Yes"),"Completed","")</f>
        <v/>
      </c>
      <c r="O167" s="1" t="str">
        <f ca="1">IF(AND(B167="Jsy",I167&lt;=TODAY()),"Overdue","")</f>
        <v/>
      </c>
    </row>
    <row r="168" spans="1:15">
      <c r="A168" s="4" t="s">
        <v>109</v>
      </c>
      <c r="B168" s="1" t="s">
        <v>101</v>
      </c>
      <c r="C168" s="1" t="s">
        <v>108</v>
      </c>
      <c r="D168" s="1" t="s">
        <v>136</v>
      </c>
      <c r="E168" s="1" t="s">
        <v>105</v>
      </c>
      <c r="F168" s="1" t="s">
        <v>105</v>
      </c>
      <c r="G168" s="1" t="s">
        <v>105</v>
      </c>
      <c r="H168" s="5">
        <v>20796</v>
      </c>
      <c r="I168" s="6">
        <v>44704</v>
      </c>
      <c r="J168" s="14" t="str">
        <f>IF(AND(B168="Jsy",C168="EF"),"Attention!","")</f>
        <v/>
      </c>
      <c r="K168" s="7" t="str">
        <f>IF(OR(E168="No",F168="No",G168="No"),"Chase","")</f>
        <v>Chase</v>
      </c>
      <c r="L168" s="1" t="str">
        <f>IF(AND(C168="EF",D168="Moore"),"Review","")</f>
        <v/>
      </c>
      <c r="M168" s="1" t="str">
        <f>IF(OR(B168="Jsy",H168="&gt;10000"),"Priority","")</f>
        <v/>
      </c>
      <c r="N168" s="1" t="str">
        <f>IF(AND(E168="Yes",F168="Yes",G168="Yes"),"Completed","")</f>
        <v/>
      </c>
      <c r="O168" s="1" t="str">
        <f ca="1">IF(AND(B168="Jsy",I168&lt;=TODAY()),"Overdue","")</f>
        <v/>
      </c>
    </row>
    <row r="169" spans="1:15">
      <c r="A169" s="4" t="s">
        <v>109</v>
      </c>
      <c r="B169" s="1" t="s">
        <v>101</v>
      </c>
      <c r="C169" s="1" t="s">
        <v>108</v>
      </c>
      <c r="D169" s="1" t="s">
        <v>136</v>
      </c>
      <c r="E169" s="1" t="s">
        <v>105</v>
      </c>
      <c r="F169" s="1" t="s">
        <v>105</v>
      </c>
      <c r="G169" s="1" t="s">
        <v>105</v>
      </c>
      <c r="H169" s="5">
        <v>49687</v>
      </c>
      <c r="I169" s="6">
        <v>44699</v>
      </c>
      <c r="J169" s="14" t="str">
        <f>IF(AND(B169="Jsy",C169="EF"),"Attention!","")</f>
        <v/>
      </c>
      <c r="K169" s="7" t="str">
        <f>IF(OR(E169="No",F169="No",G169="No"),"Chase","")</f>
        <v>Chase</v>
      </c>
      <c r="L169" s="1" t="str">
        <f>IF(AND(C169="EF",D169="Moore"),"Review","")</f>
        <v/>
      </c>
      <c r="M169" s="1" t="str">
        <f>IF(OR(B169="Jsy",H169="&gt;10000"),"Priority","")</f>
        <v/>
      </c>
      <c r="N169" s="1" t="str">
        <f>IF(AND(E169="Yes",F169="Yes",G169="Yes"),"Completed","")</f>
        <v/>
      </c>
      <c r="O169" s="1" t="str">
        <f ca="1">IF(AND(B169="Jsy",I169&lt;=TODAY()),"Overdue","")</f>
        <v/>
      </c>
    </row>
    <row r="170" spans="1:15">
      <c r="A170" s="8" t="s">
        <v>109</v>
      </c>
      <c r="B170" s="9" t="s">
        <v>107</v>
      </c>
      <c r="C170" s="9" t="s">
        <v>108</v>
      </c>
      <c r="D170" s="9" t="s">
        <v>136</v>
      </c>
      <c r="E170" s="9" t="s">
        <v>103</v>
      </c>
      <c r="F170" s="9" t="s">
        <v>105</v>
      </c>
      <c r="G170" s="9" t="s">
        <v>105</v>
      </c>
      <c r="H170" s="10">
        <v>49918</v>
      </c>
      <c r="I170" s="6">
        <v>44653</v>
      </c>
      <c r="J170" s="14" t="str">
        <f>IF(AND(B170="Jsy",C170="EF"),"Attention!","")</f>
        <v/>
      </c>
      <c r="K170" s="7" t="str">
        <f>IF(OR(E170="No",F170="No",G170="No"),"Chase","")</f>
        <v>Chase</v>
      </c>
      <c r="L170" s="1" t="str">
        <f>IF(AND(C170="EF",D170="Moore"),"Review","")</f>
        <v/>
      </c>
      <c r="M170" s="1" t="str">
        <f>IF(OR(B170="Jsy",H170="&gt;10000"),"Priority","")</f>
        <v>Priority</v>
      </c>
      <c r="N170" s="1" t="str">
        <f>IF(AND(E170="Yes",F170="Yes",G170="Yes"),"Completed","")</f>
        <v/>
      </c>
      <c r="O170" s="1" t="str">
        <f ca="1">IF(AND(B170="Jsy",I170&lt;=TODAY()),"Overdue","")</f>
        <v>Overdue</v>
      </c>
    </row>
  </sheetData>
  <autoFilter ref="A1:O170" xr:uid="{0117BA97-C89B-42B9-9C83-3BA6B4E513FA}">
    <sortState xmlns:xlrd2="http://schemas.microsoft.com/office/spreadsheetml/2017/richdata2" ref="A2:O170">
      <sortCondition ref="D1:D170"/>
    </sortState>
  </autoFilter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6841-4FC8-4B8B-8005-7267D17B3C2A}">
  <sheetPr codeName="Sheet4">
    <tabColor theme="9" tint="-0.249977111117893"/>
  </sheetPr>
  <dimension ref="A1:AB2000"/>
  <sheetViews>
    <sheetView zoomScaleNormal="100" workbookViewId="0">
      <selection activeCell="E15" sqref="E15"/>
    </sheetView>
  </sheetViews>
  <sheetFormatPr defaultColWidth="9.140625" defaultRowHeight="17.25" customHeight="1"/>
  <cols>
    <col min="1" max="1" width="16.140625" style="60" bestFit="1" customWidth="1"/>
    <col min="2" max="2" width="23" style="60" bestFit="1" customWidth="1"/>
    <col min="3" max="3" width="15.42578125" style="60" customWidth="1"/>
    <col min="4" max="4" width="16.85546875" style="68" customWidth="1"/>
    <col min="5" max="5" width="15.7109375" style="60" customWidth="1"/>
    <col min="6" max="6" width="4.7109375" style="60" bestFit="1" customWidth="1"/>
    <col min="7" max="7" width="4.7109375" style="60" customWidth="1"/>
    <col min="8" max="8" width="23" style="60" bestFit="1" customWidth="1"/>
    <col min="9" max="9" width="11.7109375" style="60" bestFit="1" customWidth="1"/>
    <col min="10" max="10" width="13.28515625" style="60" bestFit="1" customWidth="1"/>
    <col min="11" max="28" width="4.7109375" style="60" bestFit="1" customWidth="1"/>
    <col min="29" max="16384" width="9.140625" style="60"/>
  </cols>
  <sheetData>
    <row r="1" spans="1:10" s="84" customFormat="1" ht="30.75" thickBot="1">
      <c r="A1" s="81" t="s">
        <v>138</v>
      </c>
      <c r="B1" s="81" t="s">
        <v>139</v>
      </c>
      <c r="C1" s="82" t="s">
        <v>140</v>
      </c>
      <c r="D1" s="83" t="s">
        <v>141</v>
      </c>
      <c r="E1" s="81" t="s">
        <v>142</v>
      </c>
    </row>
    <row r="2" spans="1:10" ht="17.25" customHeight="1">
      <c r="A2" s="61" t="s">
        <v>143</v>
      </c>
      <c r="B2" s="62" t="s">
        <v>144</v>
      </c>
      <c r="C2" s="62" t="s">
        <v>145</v>
      </c>
      <c r="D2" s="63">
        <v>300</v>
      </c>
      <c r="E2" s="64">
        <v>44606</v>
      </c>
      <c r="J2" s="65" t="s">
        <v>146</v>
      </c>
    </row>
    <row r="3" spans="1:10" ht="17.25" customHeight="1">
      <c r="A3" s="73" t="s">
        <v>143</v>
      </c>
      <c r="B3" s="60" t="s">
        <v>147</v>
      </c>
      <c r="C3" s="60" t="s">
        <v>145</v>
      </c>
      <c r="D3" s="68">
        <v>800</v>
      </c>
      <c r="E3" s="69">
        <v>44610</v>
      </c>
      <c r="G3" s="70">
        <v>1</v>
      </c>
      <c r="H3" s="71"/>
      <c r="I3" s="71"/>
      <c r="J3" s="72">
        <f>SUM(D:D)</f>
        <v>1095770</v>
      </c>
    </row>
    <row r="4" spans="1:10" ht="17.25" customHeight="1">
      <c r="A4" s="73" t="s">
        <v>143</v>
      </c>
      <c r="B4" s="60" t="s">
        <v>148</v>
      </c>
      <c r="C4" s="60" t="s">
        <v>145</v>
      </c>
      <c r="D4" s="68">
        <v>345</v>
      </c>
      <c r="E4" s="69">
        <v>44613</v>
      </c>
      <c r="G4" s="71">
        <v>2</v>
      </c>
      <c r="H4" s="60" t="s">
        <v>149</v>
      </c>
      <c r="I4" s="71"/>
      <c r="J4" s="74">
        <f>SUMIF(C:C,H4,D:D)</f>
        <v>102150</v>
      </c>
    </row>
    <row r="5" spans="1:10" ht="17.25" customHeight="1">
      <c r="A5" s="73" t="s">
        <v>143</v>
      </c>
      <c r="B5" s="60" t="s">
        <v>148</v>
      </c>
      <c r="C5" s="60" t="s">
        <v>145</v>
      </c>
      <c r="D5" s="68">
        <v>3200</v>
      </c>
      <c r="E5" s="69">
        <v>44634</v>
      </c>
      <c r="G5" s="71">
        <v>3</v>
      </c>
      <c r="H5" s="65" t="s">
        <v>150</v>
      </c>
      <c r="I5" s="65"/>
      <c r="J5" s="74">
        <f>SUMIF(B:B,H5,D:D)</f>
        <v>32690</v>
      </c>
    </row>
    <row r="6" spans="1:10" ht="17.25" customHeight="1">
      <c r="A6" s="73" t="s">
        <v>143</v>
      </c>
      <c r="B6" s="60" t="s">
        <v>144</v>
      </c>
      <c r="C6" s="60" t="s">
        <v>145</v>
      </c>
      <c r="D6" s="68">
        <v>4900</v>
      </c>
      <c r="E6" s="69">
        <v>44644</v>
      </c>
      <c r="G6" s="71" t="s">
        <v>151</v>
      </c>
      <c r="H6" s="60" t="s">
        <v>152</v>
      </c>
      <c r="I6" s="65" t="s">
        <v>143</v>
      </c>
      <c r="J6" s="74">
        <f>SUMIFS(D:D,B:B,H6,A:A,I7)</f>
        <v>155555</v>
      </c>
    </row>
    <row r="7" spans="1:10" ht="17.25" customHeight="1">
      <c r="A7" s="73" t="s">
        <v>143</v>
      </c>
      <c r="B7" s="60" t="s">
        <v>147</v>
      </c>
      <c r="C7" s="60" t="s">
        <v>145</v>
      </c>
      <c r="D7" s="79">
        <v>670</v>
      </c>
      <c r="E7" s="69">
        <v>44662</v>
      </c>
      <c r="G7" s="71" t="s">
        <v>153</v>
      </c>
      <c r="H7" s="75" t="s">
        <v>154</v>
      </c>
      <c r="I7" s="65" t="s">
        <v>143</v>
      </c>
      <c r="J7" s="74">
        <f>SUMIFS(D:D,B:B,H7,A:A,I7)</f>
        <v>100</v>
      </c>
    </row>
    <row r="8" spans="1:10" ht="17.25" customHeight="1">
      <c r="A8" s="66" t="s">
        <v>143</v>
      </c>
      <c r="B8" s="67" t="s">
        <v>147</v>
      </c>
      <c r="C8" s="67" t="s">
        <v>145</v>
      </c>
      <c r="D8" s="68">
        <v>40000</v>
      </c>
      <c r="E8" s="69">
        <v>44763</v>
      </c>
      <c r="G8" s="71" t="s">
        <v>155</v>
      </c>
      <c r="H8" s="60" t="s">
        <v>156</v>
      </c>
      <c r="I8" s="65" t="s">
        <v>143</v>
      </c>
      <c r="J8" s="74">
        <f>SUMIFS(D:D,B:B,H8,A:A,I8)</f>
        <v>3490</v>
      </c>
    </row>
    <row r="9" spans="1:10" ht="17.25" customHeight="1">
      <c r="A9" s="66" t="s">
        <v>143</v>
      </c>
      <c r="B9" s="60" t="s">
        <v>148</v>
      </c>
      <c r="C9" s="67" t="s">
        <v>145</v>
      </c>
      <c r="D9" s="68">
        <v>52500</v>
      </c>
      <c r="E9" s="69">
        <v>44764</v>
      </c>
      <c r="G9" s="71">
        <v>5</v>
      </c>
      <c r="H9" s="71"/>
      <c r="I9" s="71"/>
      <c r="J9" s="76">
        <f>COUNTA(D:D)-2</f>
        <v>50</v>
      </c>
    </row>
    <row r="10" spans="1:10" ht="17.25" customHeight="1">
      <c r="A10" s="73" t="s">
        <v>143</v>
      </c>
      <c r="B10" s="60" t="s">
        <v>144</v>
      </c>
      <c r="C10" s="60" t="s">
        <v>145</v>
      </c>
      <c r="D10" s="79">
        <v>15800</v>
      </c>
      <c r="E10" s="69">
        <v>44843</v>
      </c>
      <c r="G10" s="71" t="s">
        <v>157</v>
      </c>
      <c r="H10" s="65" t="s">
        <v>145</v>
      </c>
      <c r="I10" s="71"/>
      <c r="J10" s="76">
        <f>COUNTIF(C:C,H10)</f>
        <v>9</v>
      </c>
    </row>
    <row r="11" spans="1:10" ht="17.25" customHeight="1">
      <c r="A11" s="73" t="s">
        <v>143</v>
      </c>
      <c r="B11" s="60" t="s">
        <v>158</v>
      </c>
      <c r="C11" s="60" t="s">
        <v>149</v>
      </c>
      <c r="D11" s="68">
        <v>800</v>
      </c>
      <c r="E11" s="69">
        <v>44586</v>
      </c>
      <c r="G11" s="71" t="s">
        <v>159</v>
      </c>
      <c r="H11" s="65" t="s">
        <v>160</v>
      </c>
      <c r="I11" s="71"/>
      <c r="J11" s="76">
        <f>COUNTIF(C:C,H11)</f>
        <v>10</v>
      </c>
    </row>
    <row r="12" spans="1:10" ht="17.25" customHeight="1">
      <c r="A12" s="73" t="s">
        <v>161</v>
      </c>
      <c r="B12" s="60" t="s">
        <v>156</v>
      </c>
      <c r="C12" s="60" t="s">
        <v>149</v>
      </c>
      <c r="D12" s="68">
        <v>200</v>
      </c>
      <c r="E12" s="69">
        <v>44630</v>
      </c>
      <c r="G12" s="71" t="s">
        <v>162</v>
      </c>
      <c r="H12" s="77" t="s">
        <v>163</v>
      </c>
      <c r="I12" s="71"/>
      <c r="J12" s="76">
        <f>COUNTIF(C:C,H12)</f>
        <v>6</v>
      </c>
    </row>
    <row r="13" spans="1:10" ht="17.25" customHeight="1">
      <c r="A13" s="73" t="s">
        <v>143</v>
      </c>
      <c r="B13" s="60" t="s">
        <v>158</v>
      </c>
      <c r="C13" s="60" t="s">
        <v>149</v>
      </c>
      <c r="D13" s="68">
        <v>800</v>
      </c>
      <c r="E13" s="69">
        <v>44657</v>
      </c>
      <c r="G13" s="71">
        <v>7</v>
      </c>
      <c r="H13" s="71" t="s">
        <v>164</v>
      </c>
      <c r="I13" s="71"/>
      <c r="J13" s="76">
        <f>COUNTIF(D:D,H13)</f>
        <v>33</v>
      </c>
    </row>
    <row r="14" spans="1:10" ht="17.25" customHeight="1">
      <c r="A14" s="73" t="s">
        <v>143</v>
      </c>
      <c r="B14" s="60" t="s">
        <v>158</v>
      </c>
      <c r="C14" s="60" t="s">
        <v>149</v>
      </c>
      <c r="D14" s="68">
        <v>4900</v>
      </c>
      <c r="E14" s="69">
        <v>44663</v>
      </c>
      <c r="G14" s="71">
        <v>8</v>
      </c>
      <c r="H14" s="77" t="s">
        <v>163</v>
      </c>
      <c r="I14" s="60" t="s">
        <v>165</v>
      </c>
      <c r="J14" s="76">
        <f>COUNTIFS(C:C,H14,B:B,I14)</f>
        <v>3</v>
      </c>
    </row>
    <row r="15" spans="1:10" ht="17.25" customHeight="1">
      <c r="A15" s="73" t="s">
        <v>161</v>
      </c>
      <c r="B15" s="60" t="s">
        <v>156</v>
      </c>
      <c r="C15" s="67" t="s">
        <v>149</v>
      </c>
      <c r="D15" s="68">
        <v>42500</v>
      </c>
      <c r="E15" s="69">
        <v>44757</v>
      </c>
      <c r="G15" s="71">
        <v>9</v>
      </c>
      <c r="H15" s="71"/>
      <c r="I15" s="71"/>
      <c r="J15" s="74">
        <f>MAX(D:D)</f>
        <v>65000</v>
      </c>
    </row>
    <row r="16" spans="1:10" ht="17.25" customHeight="1">
      <c r="A16" s="73" t="s">
        <v>161</v>
      </c>
      <c r="B16" s="60" t="s">
        <v>152</v>
      </c>
      <c r="C16" s="67" t="s">
        <v>149</v>
      </c>
      <c r="D16" s="68">
        <v>52500</v>
      </c>
      <c r="E16" s="69">
        <v>44758</v>
      </c>
      <c r="G16" s="71">
        <v>10</v>
      </c>
      <c r="H16" s="71"/>
      <c r="I16" s="71"/>
      <c r="J16" s="78">
        <f>MAX(E:E)</f>
        <v>44913</v>
      </c>
    </row>
    <row r="17" spans="1:10" ht="17.25" customHeight="1">
      <c r="A17" s="73" t="s">
        <v>161</v>
      </c>
      <c r="B17" s="60" t="s">
        <v>152</v>
      </c>
      <c r="C17" s="60" t="s">
        <v>149</v>
      </c>
      <c r="D17" s="79">
        <v>450</v>
      </c>
      <c r="E17" s="69">
        <v>44897</v>
      </c>
      <c r="G17" s="71">
        <v>11</v>
      </c>
      <c r="H17" s="71"/>
      <c r="I17" s="71"/>
      <c r="J17" s="74">
        <f>MIN(D:D)</f>
        <v>100</v>
      </c>
    </row>
    <row r="18" spans="1:10" ht="17.25" customHeight="1">
      <c r="A18" s="73" t="s">
        <v>143</v>
      </c>
      <c r="B18" s="60" t="s">
        <v>166</v>
      </c>
      <c r="C18" s="60" t="s">
        <v>167</v>
      </c>
      <c r="D18" s="68">
        <v>7800</v>
      </c>
      <c r="E18" s="69">
        <v>44590</v>
      </c>
      <c r="G18" s="71">
        <v>12</v>
      </c>
      <c r="H18" s="71"/>
      <c r="I18" s="71"/>
      <c r="J18" s="78">
        <f>MIN(E:E)</f>
        <v>44562</v>
      </c>
    </row>
    <row r="19" spans="1:10" ht="17.25" customHeight="1">
      <c r="A19" s="73" t="s">
        <v>168</v>
      </c>
      <c r="B19" s="60" t="s">
        <v>169</v>
      </c>
      <c r="C19" s="60" t="s">
        <v>167</v>
      </c>
      <c r="D19" s="68">
        <v>2890</v>
      </c>
      <c r="E19" s="69">
        <v>44603</v>
      </c>
    </row>
    <row r="20" spans="1:10" ht="17.25" customHeight="1">
      <c r="A20" s="73" t="s">
        <v>143</v>
      </c>
      <c r="B20" s="60" t="s">
        <v>156</v>
      </c>
      <c r="C20" s="60" t="s">
        <v>167</v>
      </c>
      <c r="D20" s="68">
        <v>3490</v>
      </c>
      <c r="E20" s="69">
        <v>44612</v>
      </c>
    </row>
    <row r="21" spans="1:10" ht="17.25" customHeight="1">
      <c r="A21" s="73" t="s">
        <v>143</v>
      </c>
      <c r="B21" s="60" t="s">
        <v>170</v>
      </c>
      <c r="C21" s="60" t="s">
        <v>167</v>
      </c>
      <c r="D21" s="68">
        <v>300</v>
      </c>
      <c r="E21" s="69">
        <v>44650</v>
      </c>
    </row>
    <row r="22" spans="1:10" ht="17.25" customHeight="1">
      <c r="A22" s="73" t="s">
        <v>168</v>
      </c>
      <c r="B22" s="60" t="s">
        <v>152</v>
      </c>
      <c r="C22" s="67" t="s">
        <v>167</v>
      </c>
      <c r="D22" s="68">
        <v>60000</v>
      </c>
      <c r="E22" s="69">
        <v>44759</v>
      </c>
    </row>
    <row r="23" spans="1:10" ht="17.25" customHeight="1">
      <c r="A23" s="73" t="s">
        <v>143</v>
      </c>
      <c r="B23" s="60" t="s">
        <v>166</v>
      </c>
      <c r="C23" s="67" t="s">
        <v>167</v>
      </c>
      <c r="D23" s="68">
        <v>35000</v>
      </c>
      <c r="E23" s="69">
        <v>44760</v>
      </c>
    </row>
    <row r="24" spans="1:10" ht="17.25" customHeight="1">
      <c r="A24" s="73" t="s">
        <v>143</v>
      </c>
      <c r="B24" s="60" t="s">
        <v>170</v>
      </c>
      <c r="C24" s="67" t="s">
        <v>167</v>
      </c>
      <c r="D24" s="68">
        <v>40000</v>
      </c>
      <c r="E24" s="69">
        <v>44768</v>
      </c>
    </row>
    <row r="25" spans="1:10" ht="17.25" customHeight="1">
      <c r="A25" s="66" t="s">
        <v>168</v>
      </c>
      <c r="B25" s="60" t="s">
        <v>166</v>
      </c>
      <c r="C25" s="67" t="s">
        <v>171</v>
      </c>
      <c r="D25" s="68">
        <v>40000</v>
      </c>
      <c r="E25" s="69">
        <v>44586</v>
      </c>
    </row>
    <row r="26" spans="1:10" ht="17.25" customHeight="1">
      <c r="A26" s="66" t="s">
        <v>168</v>
      </c>
      <c r="B26" s="60" t="s">
        <v>166</v>
      </c>
      <c r="C26" s="67" t="s">
        <v>171</v>
      </c>
      <c r="D26" s="68">
        <v>47500</v>
      </c>
      <c r="E26" s="69">
        <v>44588</v>
      </c>
    </row>
    <row r="27" spans="1:10" ht="17.25" customHeight="1">
      <c r="A27" s="73" t="s">
        <v>143</v>
      </c>
      <c r="B27" s="60" t="s">
        <v>150</v>
      </c>
      <c r="C27" s="60" t="s">
        <v>172</v>
      </c>
      <c r="D27" s="79">
        <v>6700</v>
      </c>
      <c r="E27" s="69">
        <v>44562</v>
      </c>
    </row>
    <row r="28" spans="1:10" ht="17.25" customHeight="1">
      <c r="A28" s="73" t="s">
        <v>143</v>
      </c>
      <c r="B28" s="60" t="s">
        <v>173</v>
      </c>
      <c r="C28" s="60" t="s">
        <v>172</v>
      </c>
      <c r="D28" s="68">
        <v>7800</v>
      </c>
      <c r="E28" s="69">
        <v>44621</v>
      </c>
    </row>
    <row r="29" spans="1:10" ht="17.25" customHeight="1">
      <c r="A29" s="73" t="s">
        <v>143</v>
      </c>
      <c r="B29" s="60" t="s">
        <v>152</v>
      </c>
      <c r="C29" s="60" t="s">
        <v>172</v>
      </c>
      <c r="D29" s="68">
        <v>555</v>
      </c>
      <c r="E29" s="69">
        <v>44654</v>
      </c>
    </row>
    <row r="30" spans="1:10" ht="17.25" customHeight="1">
      <c r="A30" s="66" t="s">
        <v>174</v>
      </c>
      <c r="B30" s="60" t="s">
        <v>173</v>
      </c>
      <c r="C30" s="67" t="s">
        <v>172</v>
      </c>
      <c r="D30" s="68">
        <v>37500</v>
      </c>
      <c r="E30" s="69">
        <v>44765</v>
      </c>
    </row>
    <row r="31" spans="1:10" ht="17.25" customHeight="1">
      <c r="A31" s="67" t="s">
        <v>174</v>
      </c>
      <c r="B31" s="60" t="s">
        <v>173</v>
      </c>
      <c r="C31" s="67" t="s">
        <v>172</v>
      </c>
      <c r="D31" s="68">
        <v>57500</v>
      </c>
      <c r="E31" s="69">
        <v>44766</v>
      </c>
    </row>
    <row r="32" spans="1:10" ht="17.25" customHeight="1">
      <c r="A32" s="60" t="s">
        <v>161</v>
      </c>
      <c r="B32" s="60" t="s">
        <v>175</v>
      </c>
      <c r="C32" s="67" t="s">
        <v>163</v>
      </c>
      <c r="D32" s="68">
        <v>42500</v>
      </c>
      <c r="E32" s="69">
        <v>44587</v>
      </c>
    </row>
    <row r="33" spans="1:5" ht="17.25" customHeight="1">
      <c r="A33" s="60" t="s">
        <v>161</v>
      </c>
      <c r="B33" s="60" t="s">
        <v>165</v>
      </c>
      <c r="C33" s="67" t="s">
        <v>163</v>
      </c>
      <c r="D33" s="68">
        <v>50000</v>
      </c>
      <c r="E33" s="69">
        <v>44589</v>
      </c>
    </row>
    <row r="34" spans="1:5" ht="17.25" customHeight="1">
      <c r="A34" s="60" t="s">
        <v>168</v>
      </c>
      <c r="B34" s="60" t="s">
        <v>175</v>
      </c>
      <c r="C34" s="60" t="s">
        <v>163</v>
      </c>
      <c r="D34" s="68">
        <v>350</v>
      </c>
      <c r="E34" s="69">
        <v>44639</v>
      </c>
    </row>
    <row r="35" spans="1:5" ht="17.25" customHeight="1">
      <c r="A35" s="60" t="s">
        <v>161</v>
      </c>
      <c r="B35" s="60" t="s">
        <v>165</v>
      </c>
      <c r="C35" s="60" t="s">
        <v>163</v>
      </c>
      <c r="D35" s="68">
        <v>1000</v>
      </c>
      <c r="E35" s="69">
        <v>44648</v>
      </c>
    </row>
    <row r="36" spans="1:5" ht="17.25" customHeight="1">
      <c r="A36" s="60" t="s">
        <v>161</v>
      </c>
      <c r="B36" s="60" t="s">
        <v>165</v>
      </c>
      <c r="C36" s="67" t="s">
        <v>163</v>
      </c>
      <c r="D36" s="68">
        <v>57500</v>
      </c>
      <c r="E36" s="69">
        <v>44756</v>
      </c>
    </row>
    <row r="37" spans="1:5" ht="17.25" customHeight="1">
      <c r="A37" s="60" t="s">
        <v>161</v>
      </c>
      <c r="B37" s="60" t="s">
        <v>175</v>
      </c>
      <c r="C37" s="67" t="s">
        <v>163</v>
      </c>
      <c r="D37" s="68">
        <v>22500</v>
      </c>
      <c r="E37" s="69">
        <v>44766</v>
      </c>
    </row>
    <row r="38" spans="1:5" ht="17.25" customHeight="1">
      <c r="A38" s="60" t="s">
        <v>174</v>
      </c>
      <c r="B38" s="60" t="s">
        <v>176</v>
      </c>
      <c r="C38" s="60" t="s">
        <v>160</v>
      </c>
      <c r="D38" s="68">
        <v>555</v>
      </c>
      <c r="E38" s="69">
        <v>44604</v>
      </c>
    </row>
    <row r="39" spans="1:5" ht="17.25" customHeight="1">
      <c r="A39" s="66" t="s">
        <v>168</v>
      </c>
      <c r="B39" s="60" t="s">
        <v>177</v>
      </c>
      <c r="C39" s="60" t="s">
        <v>160</v>
      </c>
      <c r="D39" s="68">
        <v>100</v>
      </c>
      <c r="E39" s="69">
        <v>44604</v>
      </c>
    </row>
    <row r="40" spans="1:5" ht="17.25" customHeight="1">
      <c r="A40" s="73" t="s">
        <v>143</v>
      </c>
      <c r="B40" s="60" t="s">
        <v>154</v>
      </c>
      <c r="C40" s="60" t="s">
        <v>160</v>
      </c>
      <c r="D40" s="79">
        <v>100</v>
      </c>
      <c r="E40" s="69">
        <v>44632</v>
      </c>
    </row>
    <row r="41" spans="1:5" ht="17.25" customHeight="1">
      <c r="A41" s="73" t="s">
        <v>143</v>
      </c>
      <c r="B41" s="60" t="s">
        <v>178</v>
      </c>
      <c r="C41" s="60" t="s">
        <v>160</v>
      </c>
      <c r="D41" s="79">
        <v>775</v>
      </c>
      <c r="E41" s="69">
        <v>44643</v>
      </c>
    </row>
    <row r="42" spans="1:5" ht="17.25" customHeight="1">
      <c r="A42" s="73" t="s">
        <v>174</v>
      </c>
      <c r="B42" s="60" t="s">
        <v>179</v>
      </c>
      <c r="C42" s="60" t="s">
        <v>160</v>
      </c>
      <c r="D42" s="68">
        <v>6700</v>
      </c>
      <c r="E42" s="69">
        <v>44666</v>
      </c>
    </row>
    <row r="43" spans="1:5" ht="17.25" customHeight="1">
      <c r="A43" s="66" t="s">
        <v>168</v>
      </c>
      <c r="B43" s="60" t="s">
        <v>177</v>
      </c>
      <c r="C43" s="67" t="s">
        <v>160</v>
      </c>
      <c r="D43" s="68">
        <v>45000</v>
      </c>
      <c r="E43" s="69">
        <v>44761</v>
      </c>
    </row>
    <row r="44" spans="1:5" ht="17.25" customHeight="1">
      <c r="A44" s="73" t="s">
        <v>174</v>
      </c>
      <c r="B44" s="60" t="s">
        <v>176</v>
      </c>
      <c r="C44" s="67" t="s">
        <v>160</v>
      </c>
      <c r="D44" s="68">
        <v>22500</v>
      </c>
      <c r="E44" s="69">
        <v>44762</v>
      </c>
    </row>
    <row r="45" spans="1:5" ht="17.25" customHeight="1">
      <c r="A45" s="60" t="s">
        <v>143</v>
      </c>
      <c r="B45" s="60" t="s">
        <v>150</v>
      </c>
      <c r="C45" s="67" t="s">
        <v>160</v>
      </c>
      <c r="D45" s="68">
        <v>22500</v>
      </c>
      <c r="E45" s="69">
        <v>44767</v>
      </c>
    </row>
    <row r="46" spans="1:5" ht="17.25" customHeight="1">
      <c r="A46" s="60" t="s">
        <v>174</v>
      </c>
      <c r="B46" s="60" t="s">
        <v>176</v>
      </c>
      <c r="C46" s="67" t="s">
        <v>160</v>
      </c>
      <c r="D46" s="68">
        <v>60000</v>
      </c>
      <c r="E46" s="69">
        <v>44769</v>
      </c>
    </row>
    <row r="47" spans="1:5" ht="17.25" customHeight="1">
      <c r="A47" s="73" t="s">
        <v>143</v>
      </c>
      <c r="B47" s="60" t="s">
        <v>150</v>
      </c>
      <c r="C47" s="60" t="s">
        <v>160</v>
      </c>
      <c r="D47" s="79">
        <v>3490</v>
      </c>
      <c r="E47" s="69">
        <v>44913</v>
      </c>
    </row>
    <row r="48" spans="1:5" ht="17.25" customHeight="1">
      <c r="A48" s="73" t="s">
        <v>143</v>
      </c>
      <c r="B48" s="60" t="s">
        <v>152</v>
      </c>
      <c r="C48" s="67" t="s">
        <v>180</v>
      </c>
      <c r="D48" s="68">
        <v>50000</v>
      </c>
      <c r="E48" s="69">
        <v>44594</v>
      </c>
    </row>
    <row r="49" spans="1:5" ht="17.25" customHeight="1">
      <c r="A49" s="73" t="s">
        <v>143</v>
      </c>
      <c r="B49" s="60" t="s">
        <v>152</v>
      </c>
      <c r="C49" s="67" t="s">
        <v>180</v>
      </c>
      <c r="D49" s="68">
        <v>40000</v>
      </c>
      <c r="E49" s="69">
        <v>44741</v>
      </c>
    </row>
    <row r="50" spans="1:5" ht="17.25" customHeight="1">
      <c r="A50" s="73" t="s">
        <v>143</v>
      </c>
      <c r="B50" s="60" t="s">
        <v>152</v>
      </c>
      <c r="C50" s="67" t="s">
        <v>180</v>
      </c>
      <c r="D50" s="79">
        <v>65000</v>
      </c>
      <c r="E50" s="69">
        <v>44742</v>
      </c>
    </row>
    <row r="51" spans="1:5" ht="17.25" customHeight="1">
      <c r="A51" s="67" t="s">
        <v>174</v>
      </c>
      <c r="B51" s="60" t="s">
        <v>152</v>
      </c>
      <c r="C51" s="67" t="s">
        <v>180</v>
      </c>
      <c r="D51" s="79">
        <v>37500</v>
      </c>
      <c r="E51" s="69">
        <v>44767</v>
      </c>
    </row>
    <row r="52" spans="1:5" ht="17.25" customHeight="1">
      <c r="D52" s="79"/>
    </row>
    <row r="1999" spans="1:28" ht="17.25" customHeight="1">
      <c r="G1999" s="60" t="s">
        <v>181</v>
      </c>
      <c r="H1999" s="60" t="s">
        <v>181</v>
      </c>
      <c r="J1999" s="60" t="s">
        <v>181</v>
      </c>
    </row>
    <row r="2000" spans="1:28" ht="17.25" customHeight="1">
      <c r="A2000" s="60" t="s">
        <v>181</v>
      </c>
      <c r="B2000" s="60" t="s">
        <v>181</v>
      </c>
      <c r="C2000" s="60" t="s">
        <v>181</v>
      </c>
      <c r="D2000" s="68" t="s">
        <v>181</v>
      </c>
      <c r="E2000" s="60" t="s">
        <v>181</v>
      </c>
      <c r="F2000" s="60" t="s">
        <v>181</v>
      </c>
      <c r="K2000" s="60" t="s">
        <v>181</v>
      </c>
      <c r="L2000" s="60" t="s">
        <v>181</v>
      </c>
      <c r="M2000" s="60" t="s">
        <v>181</v>
      </c>
      <c r="N2000" s="60" t="s">
        <v>181</v>
      </c>
      <c r="O2000" s="60" t="s">
        <v>181</v>
      </c>
      <c r="P2000" s="60" t="s">
        <v>181</v>
      </c>
      <c r="Q2000" s="60" t="s">
        <v>181</v>
      </c>
      <c r="R2000" s="60" t="s">
        <v>181</v>
      </c>
      <c r="S2000" s="60" t="s">
        <v>181</v>
      </c>
      <c r="T2000" s="60" t="s">
        <v>181</v>
      </c>
      <c r="U2000" s="60" t="s">
        <v>181</v>
      </c>
      <c r="V2000" s="60" t="s">
        <v>181</v>
      </c>
      <c r="W2000" s="60" t="s">
        <v>181</v>
      </c>
      <c r="X2000" s="60" t="s">
        <v>181</v>
      </c>
      <c r="Y2000" s="60" t="s">
        <v>181</v>
      </c>
      <c r="Z2000" s="60" t="s">
        <v>181</v>
      </c>
      <c r="AA2000" s="60" t="s">
        <v>181</v>
      </c>
      <c r="AB2000" s="60" t="s">
        <v>181</v>
      </c>
    </row>
  </sheetData>
  <protectedRanges>
    <protectedRange sqref="D29:D51" name="company b"/>
  </protectedRanges>
  <autoFilter ref="A1:E51" xr:uid="{2CB388B1-8549-4B6B-92E9-E95B7B4F32AC}">
    <sortState xmlns:xlrd2="http://schemas.microsoft.com/office/spreadsheetml/2017/richdata2" ref="A2:E51">
      <sortCondition ref="C1:C51"/>
    </sortState>
  </autoFilter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9A53-0CBD-4185-8697-A32DDD1E715F}">
  <sheetPr>
    <tabColor theme="9" tint="-0.249977111117893"/>
  </sheetPr>
  <dimension ref="A1:N152"/>
  <sheetViews>
    <sheetView zoomScaleNormal="100" workbookViewId="0">
      <selection activeCell="B71" sqref="B71"/>
    </sheetView>
  </sheetViews>
  <sheetFormatPr defaultColWidth="9.140625" defaultRowHeight="13.5"/>
  <cols>
    <col min="1" max="1" width="14.7109375" style="130" bestFit="1" customWidth="1"/>
    <col min="2" max="2" width="15" style="130" bestFit="1" customWidth="1"/>
    <col min="3" max="3" width="22" style="130" bestFit="1" customWidth="1"/>
    <col min="4" max="4" width="11.140625" style="130" bestFit="1" customWidth="1"/>
    <col min="5" max="5" width="10.140625" style="130" bestFit="1" customWidth="1"/>
    <col min="6" max="6" width="13.85546875" style="130" bestFit="1" customWidth="1"/>
    <col min="7" max="7" width="14.5703125" style="130" bestFit="1" customWidth="1"/>
    <col min="8" max="8" width="10.140625" style="134" bestFit="1" customWidth="1"/>
    <col min="9" max="9" width="2.28515625" style="134" customWidth="1"/>
    <col min="10" max="10" width="11.5703125" style="130" bestFit="1" customWidth="1"/>
    <col min="11" max="11" width="65.28515625" style="130" bestFit="1" customWidth="1"/>
    <col min="12" max="12" width="22" style="130" bestFit="1" customWidth="1"/>
    <col min="13" max="13" width="11" style="130" bestFit="1" customWidth="1"/>
    <col min="14" max="14" width="11.42578125" style="130" bestFit="1" customWidth="1"/>
    <col min="15" max="16384" width="9.140625" style="130"/>
  </cols>
  <sheetData>
    <row r="1" spans="1:14" s="123" customFormat="1" ht="15" customHeight="1" thickBot="1">
      <c r="A1" s="118" t="s">
        <v>182</v>
      </c>
      <c r="B1" s="119" t="s">
        <v>48</v>
      </c>
      <c r="C1" s="119" t="s">
        <v>183</v>
      </c>
      <c r="D1" s="119" t="s">
        <v>184</v>
      </c>
      <c r="E1" s="119" t="s">
        <v>185</v>
      </c>
      <c r="F1" s="119" t="s">
        <v>186</v>
      </c>
      <c r="G1" s="119" t="s">
        <v>109</v>
      </c>
      <c r="H1" s="120" t="s">
        <v>187</v>
      </c>
      <c r="I1" s="167"/>
      <c r="J1" s="161" t="s">
        <v>188</v>
      </c>
      <c r="K1" s="162"/>
      <c r="L1" s="121"/>
      <c r="M1" s="121"/>
      <c r="N1" s="122" t="s">
        <v>146</v>
      </c>
    </row>
    <row r="2" spans="1:14" ht="15" customHeight="1" thickBot="1">
      <c r="A2" s="124">
        <v>45017</v>
      </c>
      <c r="B2" s="125" t="s">
        <v>189</v>
      </c>
      <c r="C2" s="125" t="s">
        <v>190</v>
      </c>
      <c r="D2" s="125" t="s">
        <v>191</v>
      </c>
      <c r="E2" s="125" t="s">
        <v>192</v>
      </c>
      <c r="F2" s="125" t="s">
        <v>193</v>
      </c>
      <c r="G2" s="125" t="s">
        <v>194</v>
      </c>
      <c r="H2" s="126">
        <v>87</v>
      </c>
      <c r="I2" s="127"/>
      <c r="J2" s="158" t="s">
        <v>195</v>
      </c>
      <c r="K2" s="159"/>
      <c r="L2" s="128"/>
      <c r="M2" s="128"/>
      <c r="N2" s="129"/>
    </row>
    <row r="3" spans="1:14" ht="15" customHeight="1" thickBot="1">
      <c r="A3" s="124">
        <v>45038</v>
      </c>
      <c r="B3" s="125" t="s">
        <v>189</v>
      </c>
      <c r="C3" s="125" t="s">
        <v>190</v>
      </c>
      <c r="D3" s="125" t="s">
        <v>191</v>
      </c>
      <c r="E3" s="125" t="s">
        <v>192</v>
      </c>
      <c r="F3" s="125" t="s">
        <v>193</v>
      </c>
      <c r="G3" s="125" t="s">
        <v>194</v>
      </c>
      <c r="H3" s="126">
        <v>87</v>
      </c>
      <c r="J3" s="135">
        <v>1</v>
      </c>
      <c r="K3" s="136" t="s">
        <v>196</v>
      </c>
      <c r="L3" s="136"/>
      <c r="M3" s="136"/>
      <c r="N3" s="137">
        <f>COUNTA(D:D)-1</f>
        <v>90</v>
      </c>
    </row>
    <row r="4" spans="1:14" ht="15" customHeight="1" thickBot="1">
      <c r="A4" s="124">
        <v>45044</v>
      </c>
      <c r="B4" s="125" t="s">
        <v>189</v>
      </c>
      <c r="C4" s="125" t="s">
        <v>190</v>
      </c>
      <c r="D4" s="125" t="s">
        <v>191</v>
      </c>
      <c r="E4" s="125" t="s">
        <v>192</v>
      </c>
      <c r="F4" s="125" t="s">
        <v>193</v>
      </c>
      <c r="G4" s="125" t="s">
        <v>194</v>
      </c>
      <c r="H4" s="126">
        <v>82</v>
      </c>
      <c r="I4" s="127"/>
      <c r="J4" s="163" t="s">
        <v>197</v>
      </c>
      <c r="K4" s="164"/>
      <c r="L4" s="164"/>
      <c r="M4" s="164"/>
      <c r="N4" s="165"/>
    </row>
    <row r="5" spans="1:14" ht="15" customHeight="1">
      <c r="A5" s="124">
        <v>45052</v>
      </c>
      <c r="B5" s="125" t="s">
        <v>189</v>
      </c>
      <c r="C5" s="125" t="s">
        <v>190</v>
      </c>
      <c r="D5" s="125" t="s">
        <v>198</v>
      </c>
      <c r="E5" s="125" t="s">
        <v>192</v>
      </c>
      <c r="F5" s="125" t="s">
        <v>199</v>
      </c>
      <c r="G5" s="125" t="s">
        <v>200</v>
      </c>
      <c r="H5" s="126">
        <v>98</v>
      </c>
      <c r="I5" s="127"/>
      <c r="J5" s="135">
        <v>2</v>
      </c>
      <c r="K5" s="136" t="s">
        <v>201</v>
      </c>
      <c r="L5" s="102" t="s">
        <v>190</v>
      </c>
      <c r="M5" s="103"/>
      <c r="N5" s="104">
        <f>COUNTIF(C:C,L5)</f>
        <v>23</v>
      </c>
    </row>
    <row r="6" spans="1:14" ht="15" customHeight="1">
      <c r="A6" s="131">
        <v>45080</v>
      </c>
      <c r="B6" s="125" t="s">
        <v>189</v>
      </c>
      <c r="C6" s="125" t="s">
        <v>190</v>
      </c>
      <c r="D6" s="125" t="s">
        <v>198</v>
      </c>
      <c r="E6" s="132" t="s">
        <v>192</v>
      </c>
      <c r="F6" s="132" t="s">
        <v>199</v>
      </c>
      <c r="G6" s="125" t="s">
        <v>200</v>
      </c>
      <c r="H6" s="133">
        <v>87</v>
      </c>
      <c r="J6" s="135">
        <v>3</v>
      </c>
      <c r="K6" s="136" t="s">
        <v>202</v>
      </c>
      <c r="L6" s="102" t="s">
        <v>193</v>
      </c>
      <c r="M6" s="103"/>
      <c r="N6" s="105">
        <f>COUNTIF(F:F,L6)</f>
        <v>59</v>
      </c>
    </row>
    <row r="7" spans="1:14" ht="15" customHeight="1" thickBot="1">
      <c r="A7" s="124">
        <v>45087</v>
      </c>
      <c r="B7" s="125" t="s">
        <v>189</v>
      </c>
      <c r="C7" s="125" t="s">
        <v>190</v>
      </c>
      <c r="D7" s="125" t="s">
        <v>191</v>
      </c>
      <c r="E7" s="125" t="s">
        <v>192</v>
      </c>
      <c r="F7" s="125" t="s">
        <v>193</v>
      </c>
      <c r="G7" s="125" t="s">
        <v>194</v>
      </c>
      <c r="H7" s="126">
        <v>87</v>
      </c>
      <c r="I7" s="127"/>
      <c r="J7" s="135">
        <v>4</v>
      </c>
      <c r="K7" s="136" t="s">
        <v>203</v>
      </c>
      <c r="L7" s="102" t="s">
        <v>204</v>
      </c>
      <c r="M7" s="103"/>
      <c r="N7" s="106">
        <f>COUNTIF(B:B,L7)</f>
        <v>0</v>
      </c>
    </row>
    <row r="8" spans="1:14" ht="15" customHeight="1" thickBot="1">
      <c r="A8" s="124">
        <v>45107</v>
      </c>
      <c r="B8" s="125" t="s">
        <v>189</v>
      </c>
      <c r="C8" s="125" t="s">
        <v>190</v>
      </c>
      <c r="D8" s="125" t="s">
        <v>191</v>
      </c>
      <c r="E8" s="125" t="s">
        <v>192</v>
      </c>
      <c r="F8" s="125" t="s">
        <v>193</v>
      </c>
      <c r="G8" s="125" t="s">
        <v>194</v>
      </c>
      <c r="H8" s="126">
        <v>87</v>
      </c>
      <c r="I8" s="127"/>
      <c r="J8" s="163" t="s">
        <v>205</v>
      </c>
      <c r="K8" s="164"/>
      <c r="L8" s="164"/>
      <c r="M8" s="164"/>
      <c r="N8" s="165"/>
    </row>
    <row r="9" spans="1:14" ht="15" customHeight="1">
      <c r="A9" s="124">
        <v>45115</v>
      </c>
      <c r="B9" s="125" t="s">
        <v>189</v>
      </c>
      <c r="C9" s="125" t="s">
        <v>190</v>
      </c>
      <c r="D9" s="125" t="s">
        <v>191</v>
      </c>
      <c r="E9" s="125" t="s">
        <v>192</v>
      </c>
      <c r="F9" s="125" t="s">
        <v>193</v>
      </c>
      <c r="G9" s="125" t="s">
        <v>194</v>
      </c>
      <c r="H9" s="126">
        <v>87</v>
      </c>
      <c r="I9" s="127"/>
      <c r="J9" s="135">
        <v>5</v>
      </c>
      <c r="K9" s="136" t="s">
        <v>206</v>
      </c>
      <c r="L9" s="102" t="s">
        <v>192</v>
      </c>
      <c r="M9" s="103" t="s">
        <v>207</v>
      </c>
      <c r="N9" s="104">
        <f>COUNTIFS(F:F,L9,C:C,M9)</f>
        <v>4</v>
      </c>
    </row>
    <row r="10" spans="1:14" ht="15" customHeight="1">
      <c r="A10" s="124">
        <v>45122</v>
      </c>
      <c r="B10" s="125" t="s">
        <v>189</v>
      </c>
      <c r="C10" s="125" t="s">
        <v>190</v>
      </c>
      <c r="D10" s="125" t="s">
        <v>191</v>
      </c>
      <c r="E10" s="125" t="s">
        <v>192</v>
      </c>
      <c r="F10" s="125" t="s">
        <v>193</v>
      </c>
      <c r="G10" s="125" t="s">
        <v>194</v>
      </c>
      <c r="H10" s="126">
        <v>81</v>
      </c>
      <c r="I10" s="127"/>
      <c r="J10" s="135">
        <v>6</v>
      </c>
      <c r="K10" s="136" t="s">
        <v>208</v>
      </c>
      <c r="L10" s="102" t="s">
        <v>199</v>
      </c>
      <c r="M10" s="103" t="s">
        <v>190</v>
      </c>
      <c r="N10" s="105">
        <f>COUNTIFS(F:F,L10,C:C,M10)</f>
        <v>2</v>
      </c>
    </row>
    <row r="11" spans="1:14" ht="15" customHeight="1">
      <c r="A11" s="124">
        <v>45128</v>
      </c>
      <c r="B11" s="125" t="s">
        <v>189</v>
      </c>
      <c r="C11" s="125" t="s">
        <v>190</v>
      </c>
      <c r="D11" s="125" t="s">
        <v>191</v>
      </c>
      <c r="E11" s="125" t="s">
        <v>192</v>
      </c>
      <c r="F11" s="125" t="s">
        <v>193</v>
      </c>
      <c r="G11" s="125" t="s">
        <v>194</v>
      </c>
      <c r="H11" s="126">
        <v>114.5</v>
      </c>
      <c r="I11" s="127"/>
      <c r="J11" s="135">
        <v>7</v>
      </c>
      <c r="K11" s="136" t="s">
        <v>209</v>
      </c>
      <c r="L11" s="102" t="s">
        <v>194</v>
      </c>
      <c r="M11" s="103" t="s">
        <v>192</v>
      </c>
      <c r="N11" s="105">
        <f>COUNTIFS(G:G,L11,E:E,M11)</f>
        <v>61</v>
      </c>
    </row>
    <row r="12" spans="1:14" ht="15" customHeight="1" thickBot="1">
      <c r="A12" s="124">
        <v>45136</v>
      </c>
      <c r="B12" s="125" t="s">
        <v>189</v>
      </c>
      <c r="C12" s="125" t="s">
        <v>190</v>
      </c>
      <c r="D12" s="125" t="s">
        <v>191</v>
      </c>
      <c r="E12" s="125" t="s">
        <v>192</v>
      </c>
      <c r="F12" s="125" t="s">
        <v>193</v>
      </c>
      <c r="G12" s="125" t="s">
        <v>194</v>
      </c>
      <c r="H12" s="126">
        <v>89</v>
      </c>
      <c r="I12" s="127"/>
      <c r="J12" s="138">
        <v>8</v>
      </c>
      <c r="K12" s="139" t="s">
        <v>210</v>
      </c>
      <c r="L12" s="107" t="s">
        <v>211</v>
      </c>
      <c r="M12" s="108" t="s">
        <v>212</v>
      </c>
      <c r="N12" s="106">
        <f>COUNTIFS(C:C,L12,D:D,M12)</f>
        <v>15</v>
      </c>
    </row>
    <row r="13" spans="1:14" ht="15" customHeight="1" thickBot="1">
      <c r="A13" s="124">
        <v>45143</v>
      </c>
      <c r="B13" s="125" t="s">
        <v>189</v>
      </c>
      <c r="C13" s="125" t="s">
        <v>190</v>
      </c>
      <c r="D13" s="125" t="s">
        <v>191</v>
      </c>
      <c r="E13" s="125" t="s">
        <v>192</v>
      </c>
      <c r="F13" s="125" t="s">
        <v>193</v>
      </c>
      <c r="G13" s="125" t="s">
        <v>194</v>
      </c>
      <c r="H13" s="126">
        <v>91</v>
      </c>
      <c r="I13" s="127"/>
    </row>
    <row r="14" spans="1:14" ht="15" customHeight="1" thickBot="1">
      <c r="A14" s="124">
        <v>45157</v>
      </c>
      <c r="B14" s="125" t="s">
        <v>189</v>
      </c>
      <c r="C14" s="125" t="s">
        <v>190</v>
      </c>
      <c r="D14" s="125" t="s">
        <v>198</v>
      </c>
      <c r="E14" s="125" t="s">
        <v>199</v>
      </c>
      <c r="F14" s="125" t="s">
        <v>192</v>
      </c>
      <c r="G14" s="125" t="s">
        <v>200</v>
      </c>
      <c r="H14" s="126">
        <v>112</v>
      </c>
      <c r="I14" s="127"/>
      <c r="J14" s="161" t="s">
        <v>213</v>
      </c>
      <c r="K14" s="162"/>
      <c r="L14" s="140"/>
      <c r="M14" s="140"/>
      <c r="N14" s="141" t="s">
        <v>146</v>
      </c>
    </row>
    <row r="15" spans="1:14" ht="15" customHeight="1" thickBot="1">
      <c r="A15" s="124">
        <v>45164</v>
      </c>
      <c r="B15" s="125" t="s">
        <v>189</v>
      </c>
      <c r="C15" s="125" t="s">
        <v>190</v>
      </c>
      <c r="D15" s="125" t="s">
        <v>191</v>
      </c>
      <c r="E15" s="125" t="s">
        <v>192</v>
      </c>
      <c r="F15" s="125" t="s">
        <v>193</v>
      </c>
      <c r="G15" s="125" t="s">
        <v>194</v>
      </c>
      <c r="H15" s="126">
        <v>92</v>
      </c>
      <c r="I15" s="127"/>
      <c r="J15" s="158" t="s">
        <v>214</v>
      </c>
      <c r="K15" s="159"/>
      <c r="L15" s="159"/>
      <c r="M15" s="159"/>
      <c r="N15" s="160"/>
    </row>
    <row r="16" spans="1:14" ht="15" customHeight="1" thickBot="1">
      <c r="A16" s="124">
        <v>45167</v>
      </c>
      <c r="B16" s="125" t="s">
        <v>189</v>
      </c>
      <c r="C16" s="125" t="s">
        <v>190</v>
      </c>
      <c r="D16" s="125" t="s">
        <v>191</v>
      </c>
      <c r="E16" s="125" t="s">
        <v>192</v>
      </c>
      <c r="F16" s="125" t="s">
        <v>193</v>
      </c>
      <c r="G16" s="125" t="s">
        <v>194</v>
      </c>
      <c r="H16" s="126">
        <v>86</v>
      </c>
      <c r="J16" s="135">
        <v>1</v>
      </c>
      <c r="K16" s="136" t="s">
        <v>215</v>
      </c>
      <c r="L16" s="136"/>
      <c r="M16" s="136"/>
      <c r="N16" s="109">
        <f>SUM(H:H)</f>
        <v>9642.69</v>
      </c>
    </row>
    <row r="17" spans="1:14" ht="15" customHeight="1" thickBot="1">
      <c r="A17" s="124">
        <v>45172</v>
      </c>
      <c r="B17" s="125" t="s">
        <v>189</v>
      </c>
      <c r="C17" s="125" t="s">
        <v>190</v>
      </c>
      <c r="D17" s="125" t="s">
        <v>198</v>
      </c>
      <c r="E17" s="125" t="s">
        <v>192</v>
      </c>
      <c r="F17" s="125" t="s">
        <v>216</v>
      </c>
      <c r="G17" s="125" t="s">
        <v>217</v>
      </c>
      <c r="H17" s="126">
        <v>83</v>
      </c>
      <c r="I17" s="127"/>
      <c r="J17" s="163" t="s">
        <v>218</v>
      </c>
      <c r="K17" s="164"/>
      <c r="L17" s="164"/>
      <c r="M17" s="164"/>
      <c r="N17" s="165"/>
    </row>
    <row r="18" spans="1:14" ht="15" customHeight="1">
      <c r="A18" s="124">
        <v>45024</v>
      </c>
      <c r="B18" s="125" t="s">
        <v>189</v>
      </c>
      <c r="C18" s="125" t="s">
        <v>190</v>
      </c>
      <c r="D18" s="125" t="s">
        <v>198</v>
      </c>
      <c r="E18" s="125" t="s">
        <v>192</v>
      </c>
      <c r="F18" s="125" t="s">
        <v>216</v>
      </c>
      <c r="G18" s="125" t="s">
        <v>217</v>
      </c>
      <c r="H18" s="126">
        <v>143.5</v>
      </c>
      <c r="I18" s="127"/>
      <c r="J18" s="135">
        <v>2</v>
      </c>
      <c r="K18" s="136" t="s">
        <v>219</v>
      </c>
      <c r="L18" s="102" t="s">
        <v>220</v>
      </c>
      <c r="M18" s="103"/>
      <c r="N18" s="110">
        <f>SUMIF(C:C,L18,H:H)</f>
        <v>748.41000000000008</v>
      </c>
    </row>
    <row r="19" spans="1:14" ht="15" customHeight="1">
      <c r="A19" s="124">
        <v>45031</v>
      </c>
      <c r="B19" s="125" t="s">
        <v>189</v>
      </c>
      <c r="C19" s="125" t="s">
        <v>190</v>
      </c>
      <c r="D19" s="125" t="s">
        <v>191</v>
      </c>
      <c r="E19" s="125" t="s">
        <v>192</v>
      </c>
      <c r="F19" s="125" t="s">
        <v>193</v>
      </c>
      <c r="G19" s="125" t="s">
        <v>194</v>
      </c>
      <c r="H19" s="126">
        <v>149</v>
      </c>
      <c r="I19" s="127"/>
      <c r="J19" s="135">
        <v>3</v>
      </c>
      <c r="K19" s="136" t="s">
        <v>221</v>
      </c>
      <c r="L19" s="102" t="s">
        <v>222</v>
      </c>
      <c r="M19" s="103"/>
      <c r="N19" s="111">
        <f>SUMIF(C:C,L19,H:H)</f>
        <v>2683.83</v>
      </c>
    </row>
    <row r="20" spans="1:14" ht="15" customHeight="1">
      <c r="A20" s="124">
        <v>45031</v>
      </c>
      <c r="B20" s="125" t="s">
        <v>189</v>
      </c>
      <c r="C20" s="125" t="s">
        <v>190</v>
      </c>
      <c r="D20" s="125" t="s">
        <v>198</v>
      </c>
      <c r="E20" s="125" t="s">
        <v>216</v>
      </c>
      <c r="F20" s="125" t="s">
        <v>192</v>
      </c>
      <c r="G20" s="125" t="s">
        <v>217</v>
      </c>
      <c r="H20" s="126">
        <v>143.5</v>
      </c>
      <c r="I20" s="127"/>
      <c r="J20" s="135">
        <v>4</v>
      </c>
      <c r="K20" s="136" t="s">
        <v>223</v>
      </c>
      <c r="L20" s="102" t="s">
        <v>224</v>
      </c>
      <c r="M20" s="103"/>
      <c r="N20" s="111">
        <f>SUMIF(B:B,L20,H:H)</f>
        <v>2041.2</v>
      </c>
    </row>
    <row r="21" spans="1:14" ht="15" customHeight="1" thickBot="1">
      <c r="A21" s="124">
        <v>45059</v>
      </c>
      <c r="B21" s="125" t="s">
        <v>189</v>
      </c>
      <c r="C21" s="125" t="s">
        <v>190</v>
      </c>
      <c r="D21" s="125" t="s">
        <v>191</v>
      </c>
      <c r="E21" s="125" t="s">
        <v>192</v>
      </c>
      <c r="F21" s="125" t="s">
        <v>193</v>
      </c>
      <c r="G21" s="125" t="s">
        <v>194</v>
      </c>
      <c r="H21" s="126">
        <v>134.5</v>
      </c>
      <c r="I21" s="127"/>
      <c r="J21" s="135">
        <v>5</v>
      </c>
      <c r="K21" s="136" t="s">
        <v>225</v>
      </c>
      <c r="L21" s="102" t="s">
        <v>199</v>
      </c>
      <c r="M21" s="103"/>
      <c r="N21" s="112">
        <f>SUMIF(F:F,L21,H:H)</f>
        <v>1118.44</v>
      </c>
    </row>
    <row r="22" spans="1:14" ht="15" customHeight="1" thickBot="1">
      <c r="A22" s="124">
        <v>45059</v>
      </c>
      <c r="B22" s="125" t="s">
        <v>189</v>
      </c>
      <c r="C22" s="125" t="s">
        <v>190</v>
      </c>
      <c r="D22" s="125" t="s">
        <v>191</v>
      </c>
      <c r="E22" s="125" t="s">
        <v>193</v>
      </c>
      <c r="F22" s="125" t="s">
        <v>192</v>
      </c>
      <c r="G22" s="125" t="s">
        <v>194</v>
      </c>
      <c r="H22" s="126">
        <v>84</v>
      </c>
      <c r="I22" s="127"/>
      <c r="J22" s="163" t="s">
        <v>226</v>
      </c>
      <c r="K22" s="164"/>
      <c r="L22" s="164"/>
      <c r="M22" s="164"/>
      <c r="N22" s="165"/>
    </row>
    <row r="23" spans="1:14" ht="15" customHeight="1">
      <c r="A23" s="124">
        <v>45064</v>
      </c>
      <c r="B23" s="125" t="s">
        <v>189</v>
      </c>
      <c r="C23" s="125" t="s">
        <v>190</v>
      </c>
      <c r="D23" s="125" t="s">
        <v>191</v>
      </c>
      <c r="E23" s="125" t="s">
        <v>192</v>
      </c>
      <c r="F23" s="125" t="s">
        <v>193</v>
      </c>
      <c r="G23" s="125" t="s">
        <v>194</v>
      </c>
      <c r="H23" s="126">
        <v>134.5</v>
      </c>
      <c r="I23" s="127"/>
      <c r="J23" s="135">
        <v>6</v>
      </c>
      <c r="K23" s="136" t="s">
        <v>227</v>
      </c>
      <c r="L23" s="102" t="s">
        <v>228</v>
      </c>
      <c r="M23" s="103" t="s">
        <v>207</v>
      </c>
      <c r="N23" s="110">
        <f>SUMIFS(H:H,D:D,L23,C:C,M23)</f>
        <v>124.34</v>
      </c>
    </row>
    <row r="24" spans="1:14" ht="15" customHeight="1">
      <c r="A24" s="124">
        <v>45066</v>
      </c>
      <c r="B24" s="125" t="s">
        <v>189</v>
      </c>
      <c r="C24" s="125" t="s">
        <v>190</v>
      </c>
      <c r="D24" s="125" t="s">
        <v>191</v>
      </c>
      <c r="E24" s="125" t="s">
        <v>193</v>
      </c>
      <c r="F24" s="125" t="s">
        <v>192</v>
      </c>
      <c r="G24" s="125" t="s">
        <v>194</v>
      </c>
      <c r="H24" s="126">
        <v>86.3</v>
      </c>
      <c r="J24" s="135">
        <v>7</v>
      </c>
      <c r="K24" s="136" t="s">
        <v>229</v>
      </c>
      <c r="L24" s="102" t="s">
        <v>230</v>
      </c>
      <c r="M24" s="103" t="s">
        <v>193</v>
      </c>
      <c r="N24" s="111">
        <f>SUMIFS(H:H,B:B,L24,F:F,M24)</f>
        <v>0</v>
      </c>
    </row>
    <row r="25" spans="1:14" ht="15" customHeight="1" thickBot="1">
      <c r="A25" s="124">
        <v>45044</v>
      </c>
      <c r="B25" s="125" t="s">
        <v>224</v>
      </c>
      <c r="C25" s="125" t="s">
        <v>222</v>
      </c>
      <c r="D25" s="125" t="s">
        <v>191</v>
      </c>
      <c r="E25" s="125" t="s">
        <v>192</v>
      </c>
      <c r="F25" s="125" t="s">
        <v>193</v>
      </c>
      <c r="G25" s="125" t="s">
        <v>194</v>
      </c>
      <c r="H25" s="126">
        <v>98</v>
      </c>
      <c r="I25" s="127"/>
      <c r="J25" s="138">
        <v>8</v>
      </c>
      <c r="K25" s="139" t="s">
        <v>231</v>
      </c>
      <c r="L25" s="107" t="s">
        <v>222</v>
      </c>
      <c r="M25" s="108" t="s">
        <v>193</v>
      </c>
      <c r="N25" s="112">
        <f>SUMIFS(H:H,C:C,L25,F:F,M25)</f>
        <v>1862.8</v>
      </c>
    </row>
    <row r="26" spans="1:14" ht="15" customHeight="1" thickBot="1">
      <c r="A26" s="124">
        <v>45059</v>
      </c>
      <c r="B26" s="125" t="s">
        <v>224</v>
      </c>
      <c r="C26" s="125" t="s">
        <v>222</v>
      </c>
      <c r="D26" s="125" t="s">
        <v>191</v>
      </c>
      <c r="E26" s="125" t="s">
        <v>192</v>
      </c>
      <c r="F26" s="125" t="s">
        <v>193</v>
      </c>
      <c r="G26" s="125" t="s">
        <v>194</v>
      </c>
      <c r="H26" s="126">
        <v>98</v>
      </c>
      <c r="I26" s="127"/>
    </row>
    <row r="27" spans="1:14" ht="15" customHeight="1" thickBot="1">
      <c r="A27" s="124">
        <v>45065</v>
      </c>
      <c r="B27" s="125" t="s">
        <v>224</v>
      </c>
      <c r="C27" s="125" t="s">
        <v>222</v>
      </c>
      <c r="D27" s="125" t="s">
        <v>191</v>
      </c>
      <c r="E27" s="125" t="s">
        <v>192</v>
      </c>
      <c r="F27" s="125" t="s">
        <v>193</v>
      </c>
      <c r="G27" s="125" t="s">
        <v>194</v>
      </c>
      <c r="H27" s="126">
        <v>82</v>
      </c>
      <c r="I27" s="127"/>
      <c r="J27" s="161" t="s">
        <v>232</v>
      </c>
      <c r="K27" s="162"/>
      <c r="L27" s="121"/>
      <c r="M27" s="121"/>
      <c r="N27" s="122" t="s">
        <v>146</v>
      </c>
    </row>
    <row r="28" spans="1:14" ht="15" customHeight="1" thickBot="1">
      <c r="A28" s="124">
        <v>45081</v>
      </c>
      <c r="B28" s="125" t="s">
        <v>224</v>
      </c>
      <c r="C28" s="125" t="s">
        <v>222</v>
      </c>
      <c r="D28" s="125" t="s">
        <v>191</v>
      </c>
      <c r="E28" s="125" t="s">
        <v>192</v>
      </c>
      <c r="F28" s="125" t="s">
        <v>193</v>
      </c>
      <c r="G28" s="125" t="s">
        <v>194</v>
      </c>
      <c r="H28" s="126">
        <v>98</v>
      </c>
      <c r="I28" s="127"/>
      <c r="J28" s="158" t="s">
        <v>233</v>
      </c>
      <c r="K28" s="159"/>
      <c r="L28" s="159"/>
      <c r="M28" s="159"/>
      <c r="N28" s="160"/>
    </row>
    <row r="29" spans="1:14" ht="15" customHeight="1" thickBot="1">
      <c r="A29" s="124">
        <v>45107</v>
      </c>
      <c r="B29" s="125" t="s">
        <v>224</v>
      </c>
      <c r="C29" s="125" t="s">
        <v>222</v>
      </c>
      <c r="D29" s="125" t="s">
        <v>191</v>
      </c>
      <c r="E29" s="125" t="s">
        <v>192</v>
      </c>
      <c r="F29" s="125" t="s">
        <v>193</v>
      </c>
      <c r="G29" s="125" t="s">
        <v>194</v>
      </c>
      <c r="H29" s="126">
        <v>93</v>
      </c>
      <c r="I29" s="127"/>
      <c r="J29" s="135">
        <v>1</v>
      </c>
      <c r="K29" s="136" t="s">
        <v>234</v>
      </c>
      <c r="L29" s="136"/>
      <c r="M29" s="136"/>
      <c r="N29" s="109">
        <f>AVERAGE(H:H)</f>
        <v>107.14100000000001</v>
      </c>
    </row>
    <row r="30" spans="1:14" ht="15" customHeight="1" thickBot="1">
      <c r="A30" s="124">
        <v>45107</v>
      </c>
      <c r="B30" s="125" t="s">
        <v>224</v>
      </c>
      <c r="C30" s="125" t="s">
        <v>222</v>
      </c>
      <c r="D30" s="125" t="s">
        <v>191</v>
      </c>
      <c r="E30" s="125" t="s">
        <v>192</v>
      </c>
      <c r="F30" s="125" t="s">
        <v>193</v>
      </c>
      <c r="G30" s="125" t="s">
        <v>194</v>
      </c>
      <c r="H30" s="126">
        <v>114</v>
      </c>
      <c r="I30" s="127"/>
      <c r="J30" s="163" t="s">
        <v>235</v>
      </c>
      <c r="K30" s="164"/>
      <c r="L30" s="164"/>
      <c r="M30" s="164"/>
      <c r="N30" s="165"/>
    </row>
    <row r="31" spans="1:14" ht="15" customHeight="1">
      <c r="A31" s="124">
        <v>45113</v>
      </c>
      <c r="B31" s="125" t="s">
        <v>224</v>
      </c>
      <c r="C31" s="125" t="s">
        <v>222</v>
      </c>
      <c r="D31" s="125" t="s">
        <v>191</v>
      </c>
      <c r="E31" s="125" t="s">
        <v>192</v>
      </c>
      <c r="F31" s="125" t="s">
        <v>193</v>
      </c>
      <c r="G31" s="125" t="s">
        <v>194</v>
      </c>
      <c r="H31" s="126">
        <v>94</v>
      </c>
      <c r="I31" s="127"/>
      <c r="J31" s="135">
        <v>2</v>
      </c>
      <c r="K31" s="136" t="s">
        <v>236</v>
      </c>
      <c r="L31" s="102" t="s">
        <v>190</v>
      </c>
      <c r="M31" s="103"/>
      <c r="N31" s="110">
        <f>AVERAGEIF(C:C,L31,H:H)</f>
        <v>101.12173913043479</v>
      </c>
    </row>
    <row r="32" spans="1:14" ht="15" customHeight="1">
      <c r="A32" s="124">
        <v>45114</v>
      </c>
      <c r="B32" s="125" t="s">
        <v>224</v>
      </c>
      <c r="C32" s="125" t="s">
        <v>222</v>
      </c>
      <c r="D32" s="125" t="s">
        <v>198</v>
      </c>
      <c r="E32" s="125" t="s">
        <v>192</v>
      </c>
      <c r="F32" s="125" t="s">
        <v>216</v>
      </c>
      <c r="G32" s="125" t="s">
        <v>217</v>
      </c>
      <c r="H32" s="126">
        <v>83</v>
      </c>
      <c r="I32" s="127"/>
      <c r="J32" s="135">
        <v>3</v>
      </c>
      <c r="K32" s="136" t="s">
        <v>237</v>
      </c>
      <c r="L32" s="102" t="s">
        <v>193</v>
      </c>
      <c r="M32" s="103"/>
      <c r="N32" s="111">
        <f>AVERAGEIF(F:F,L32,H:H)</f>
        <v>100.86440677966104</v>
      </c>
    </row>
    <row r="33" spans="1:14" ht="15" customHeight="1" thickBot="1">
      <c r="A33" s="124">
        <v>45116</v>
      </c>
      <c r="B33" s="125" t="s">
        <v>224</v>
      </c>
      <c r="C33" s="125" t="s">
        <v>222</v>
      </c>
      <c r="D33" s="125" t="s">
        <v>191</v>
      </c>
      <c r="E33" s="125" t="s">
        <v>192</v>
      </c>
      <c r="F33" s="125" t="s">
        <v>193</v>
      </c>
      <c r="G33" s="125" t="s">
        <v>194</v>
      </c>
      <c r="H33" s="126">
        <v>95.8</v>
      </c>
      <c r="I33" s="127"/>
      <c r="J33" s="135">
        <v>4</v>
      </c>
      <c r="K33" s="136" t="s">
        <v>238</v>
      </c>
      <c r="L33" s="102" t="s">
        <v>198</v>
      </c>
      <c r="M33" s="103"/>
      <c r="N33" s="112">
        <f>AVERAGEIF(D:D,L33,H:H)</f>
        <v>110.16055555555556</v>
      </c>
    </row>
    <row r="34" spans="1:14" ht="15" customHeight="1" thickBot="1">
      <c r="A34" s="124">
        <v>45122</v>
      </c>
      <c r="B34" s="125" t="s">
        <v>224</v>
      </c>
      <c r="C34" s="125" t="s">
        <v>222</v>
      </c>
      <c r="D34" s="125" t="s">
        <v>191</v>
      </c>
      <c r="E34" s="125" t="s">
        <v>192</v>
      </c>
      <c r="F34" s="125" t="s">
        <v>193</v>
      </c>
      <c r="G34" s="125" t="s">
        <v>194</v>
      </c>
      <c r="H34" s="126">
        <v>94.5</v>
      </c>
      <c r="I34" s="127"/>
      <c r="J34" s="163" t="s">
        <v>239</v>
      </c>
      <c r="K34" s="164"/>
      <c r="L34" s="164"/>
      <c r="M34" s="164"/>
      <c r="N34" s="165"/>
    </row>
    <row r="35" spans="1:14" ht="15" customHeight="1" thickBot="1">
      <c r="A35" s="124">
        <v>45128</v>
      </c>
      <c r="B35" s="125" t="s">
        <v>224</v>
      </c>
      <c r="C35" s="125" t="s">
        <v>222</v>
      </c>
      <c r="D35" s="125" t="s">
        <v>191</v>
      </c>
      <c r="E35" s="125" t="s">
        <v>192</v>
      </c>
      <c r="F35" s="125" t="s">
        <v>193</v>
      </c>
      <c r="G35" s="125" t="s">
        <v>194</v>
      </c>
      <c r="H35" s="126">
        <v>98</v>
      </c>
      <c r="I35" s="127"/>
      <c r="J35" s="138">
        <v>5</v>
      </c>
      <c r="K35" s="139" t="s">
        <v>240</v>
      </c>
      <c r="L35" s="107"/>
      <c r="M35" s="108"/>
      <c r="N35" s="113">
        <f>MODE(H:H)</f>
        <v>87</v>
      </c>
    </row>
    <row r="36" spans="1:14" ht="15" customHeight="1" thickBot="1">
      <c r="A36" s="124">
        <v>45135</v>
      </c>
      <c r="B36" s="125" t="s">
        <v>224</v>
      </c>
      <c r="C36" s="125" t="s">
        <v>222</v>
      </c>
      <c r="D36" s="125" t="s">
        <v>191</v>
      </c>
      <c r="E36" s="125" t="s">
        <v>192</v>
      </c>
      <c r="F36" s="125" t="s">
        <v>193</v>
      </c>
      <c r="G36" s="125" t="s">
        <v>194</v>
      </c>
      <c r="H36" s="126">
        <v>90</v>
      </c>
      <c r="I36" s="127"/>
    </row>
    <row r="37" spans="1:14" ht="15" customHeight="1" thickBot="1">
      <c r="A37" s="124">
        <v>45141</v>
      </c>
      <c r="B37" s="125" t="s">
        <v>224</v>
      </c>
      <c r="C37" s="125" t="s">
        <v>222</v>
      </c>
      <c r="D37" s="125" t="s">
        <v>191</v>
      </c>
      <c r="E37" s="125" t="s">
        <v>192</v>
      </c>
      <c r="F37" s="125" t="s">
        <v>193</v>
      </c>
      <c r="G37" s="125" t="s">
        <v>194</v>
      </c>
      <c r="H37" s="126">
        <v>100</v>
      </c>
      <c r="I37" s="127"/>
      <c r="J37" s="161" t="s">
        <v>241</v>
      </c>
      <c r="K37" s="162"/>
      <c r="L37" s="142"/>
      <c r="M37" s="142"/>
      <c r="N37" s="143" t="s">
        <v>146</v>
      </c>
    </row>
    <row r="38" spans="1:14" ht="15" customHeight="1" thickBot="1">
      <c r="A38" s="124">
        <v>45142</v>
      </c>
      <c r="B38" s="125" t="s">
        <v>224</v>
      </c>
      <c r="C38" s="125" t="s">
        <v>222</v>
      </c>
      <c r="D38" s="125" t="s">
        <v>191</v>
      </c>
      <c r="E38" s="125" t="s">
        <v>192</v>
      </c>
      <c r="F38" s="125" t="s">
        <v>193</v>
      </c>
      <c r="G38" s="125" t="s">
        <v>194</v>
      </c>
      <c r="H38" s="126">
        <v>109.5</v>
      </c>
      <c r="I38" s="127"/>
      <c r="J38" s="144" t="s">
        <v>241</v>
      </c>
      <c r="N38" s="145"/>
    </row>
    <row r="39" spans="1:14" ht="15" customHeight="1">
      <c r="A39" s="124">
        <v>45144</v>
      </c>
      <c r="B39" s="125" t="s">
        <v>224</v>
      </c>
      <c r="C39" s="125" t="s">
        <v>222</v>
      </c>
      <c r="D39" s="125" t="s">
        <v>191</v>
      </c>
      <c r="E39" s="125" t="s">
        <v>192</v>
      </c>
      <c r="F39" s="125" t="s">
        <v>193</v>
      </c>
      <c r="G39" s="125" t="s">
        <v>194</v>
      </c>
      <c r="H39" s="126">
        <v>91</v>
      </c>
      <c r="I39" s="127"/>
      <c r="J39" s="146">
        <v>1</v>
      </c>
      <c r="K39" s="130" t="s">
        <v>242</v>
      </c>
      <c r="N39" s="114">
        <f>MAX(H:H)</f>
        <v>281.18</v>
      </c>
    </row>
    <row r="40" spans="1:14" ht="15" customHeight="1">
      <c r="A40" s="124">
        <v>45155</v>
      </c>
      <c r="B40" s="125" t="s">
        <v>224</v>
      </c>
      <c r="C40" s="125" t="s">
        <v>222</v>
      </c>
      <c r="D40" s="125" t="s">
        <v>191</v>
      </c>
      <c r="E40" s="125" t="s">
        <v>192</v>
      </c>
      <c r="F40" s="125" t="s">
        <v>193</v>
      </c>
      <c r="G40" s="125" t="s">
        <v>194</v>
      </c>
      <c r="H40" s="126">
        <v>91</v>
      </c>
      <c r="I40" s="127"/>
      <c r="J40" s="146">
        <v>2</v>
      </c>
      <c r="K40" s="130" t="s">
        <v>243</v>
      </c>
      <c r="N40" s="115">
        <f>MIN(H:H)</f>
        <v>81</v>
      </c>
    </row>
    <row r="41" spans="1:14" ht="15" customHeight="1">
      <c r="A41" s="124">
        <v>45162</v>
      </c>
      <c r="B41" s="125" t="s">
        <v>224</v>
      </c>
      <c r="C41" s="125" t="s">
        <v>222</v>
      </c>
      <c r="D41" s="125" t="s">
        <v>191</v>
      </c>
      <c r="E41" s="125" t="s">
        <v>192</v>
      </c>
      <c r="F41" s="125" t="s">
        <v>193</v>
      </c>
      <c r="G41" s="125" t="s">
        <v>194</v>
      </c>
      <c r="H41" s="126">
        <v>154.5</v>
      </c>
      <c r="I41" s="127"/>
      <c r="J41" s="146">
        <v>3</v>
      </c>
      <c r="K41" s="130" t="s">
        <v>244</v>
      </c>
      <c r="N41" s="116">
        <f>MIN(A:A)</f>
        <v>45016</v>
      </c>
    </row>
    <row r="42" spans="1:14" ht="15" customHeight="1" thickBot="1">
      <c r="A42" s="124">
        <v>45165</v>
      </c>
      <c r="B42" s="125" t="s">
        <v>224</v>
      </c>
      <c r="C42" s="125" t="s">
        <v>222</v>
      </c>
      <c r="D42" s="125" t="s">
        <v>198</v>
      </c>
      <c r="E42" s="125" t="s">
        <v>192</v>
      </c>
      <c r="F42" s="125" t="s">
        <v>199</v>
      </c>
      <c r="G42" s="125" t="s">
        <v>200</v>
      </c>
      <c r="H42" s="126">
        <v>95.4</v>
      </c>
      <c r="I42" s="127"/>
      <c r="J42" s="147">
        <v>4</v>
      </c>
      <c r="K42" s="148" t="s">
        <v>245</v>
      </c>
      <c r="L42" s="148"/>
      <c r="M42" s="148"/>
      <c r="N42" s="117">
        <f>MAX(A:A)</f>
        <v>45228</v>
      </c>
    </row>
    <row r="43" spans="1:14" ht="15" customHeight="1">
      <c r="A43" s="124">
        <v>45177</v>
      </c>
      <c r="B43" s="125" t="s">
        <v>224</v>
      </c>
      <c r="C43" s="125" t="s">
        <v>222</v>
      </c>
      <c r="D43" s="125" t="s">
        <v>191</v>
      </c>
      <c r="E43" s="125" t="s">
        <v>192</v>
      </c>
      <c r="F43" s="125" t="s">
        <v>193</v>
      </c>
      <c r="G43" s="125" t="s">
        <v>194</v>
      </c>
      <c r="H43" s="126">
        <v>97</v>
      </c>
      <c r="I43" s="127"/>
    </row>
    <row r="44" spans="1:14" ht="15" customHeight="1">
      <c r="A44" s="124">
        <v>45201</v>
      </c>
      <c r="B44" s="125" t="s">
        <v>224</v>
      </c>
      <c r="C44" s="125" t="s">
        <v>222</v>
      </c>
      <c r="D44" s="125" t="s">
        <v>191</v>
      </c>
      <c r="E44" s="125" t="s">
        <v>192</v>
      </c>
      <c r="F44" s="125" t="s">
        <v>193</v>
      </c>
      <c r="G44" s="125" t="s">
        <v>194</v>
      </c>
      <c r="H44" s="126">
        <v>164.5</v>
      </c>
      <c r="I44" s="127"/>
    </row>
    <row r="45" spans="1:14" ht="15" customHeight="1">
      <c r="A45" s="124">
        <v>45088</v>
      </c>
      <c r="B45" s="125" t="s">
        <v>246</v>
      </c>
      <c r="C45" s="125" t="s">
        <v>222</v>
      </c>
      <c r="D45" s="125" t="s">
        <v>191</v>
      </c>
      <c r="E45" s="125" t="s">
        <v>193</v>
      </c>
      <c r="F45" s="125" t="s">
        <v>192</v>
      </c>
      <c r="G45" s="125" t="s">
        <v>194</v>
      </c>
      <c r="H45" s="126">
        <v>87</v>
      </c>
      <c r="I45" s="127"/>
    </row>
    <row r="46" spans="1:14" ht="15" customHeight="1">
      <c r="A46" s="124">
        <v>45159</v>
      </c>
      <c r="B46" s="125" t="s">
        <v>246</v>
      </c>
      <c r="C46" s="125" t="s">
        <v>222</v>
      </c>
      <c r="D46" s="125" t="s">
        <v>198</v>
      </c>
      <c r="E46" s="125" t="s">
        <v>192</v>
      </c>
      <c r="F46" s="125" t="s">
        <v>199</v>
      </c>
      <c r="G46" s="125" t="s">
        <v>200</v>
      </c>
      <c r="H46" s="126">
        <v>130.05000000000001</v>
      </c>
      <c r="I46" s="127"/>
    </row>
    <row r="47" spans="1:14" ht="15" customHeight="1">
      <c r="A47" s="124">
        <v>45208</v>
      </c>
      <c r="B47" s="125" t="s">
        <v>247</v>
      </c>
      <c r="C47" s="125" t="s">
        <v>222</v>
      </c>
      <c r="D47" s="125" t="s">
        <v>228</v>
      </c>
      <c r="E47" s="125" t="s">
        <v>192</v>
      </c>
      <c r="F47" s="125" t="s">
        <v>248</v>
      </c>
      <c r="G47" s="125" t="s">
        <v>200</v>
      </c>
      <c r="H47" s="126">
        <v>203.9</v>
      </c>
      <c r="I47" s="127"/>
    </row>
    <row r="48" spans="1:14" ht="15" customHeight="1">
      <c r="A48" s="124">
        <v>45079</v>
      </c>
      <c r="B48" s="125" t="s">
        <v>247</v>
      </c>
      <c r="C48" s="125" t="s">
        <v>222</v>
      </c>
      <c r="D48" s="125" t="s">
        <v>228</v>
      </c>
      <c r="E48" s="125" t="s">
        <v>199</v>
      </c>
      <c r="F48" s="125" t="s">
        <v>249</v>
      </c>
      <c r="G48" s="125" t="s">
        <v>217</v>
      </c>
      <c r="H48" s="126">
        <v>221.68</v>
      </c>
      <c r="I48" s="127"/>
    </row>
    <row r="49" spans="1:9" ht="15" customHeight="1">
      <c r="A49" s="124">
        <v>45038</v>
      </c>
      <c r="B49" s="125" t="s">
        <v>250</v>
      </c>
      <c r="C49" s="125" t="s">
        <v>211</v>
      </c>
      <c r="D49" s="125" t="s">
        <v>191</v>
      </c>
      <c r="E49" s="125" t="s">
        <v>192</v>
      </c>
      <c r="F49" s="125" t="s">
        <v>193</v>
      </c>
      <c r="G49" s="125" t="s">
        <v>194</v>
      </c>
      <c r="H49" s="126">
        <v>87</v>
      </c>
      <c r="I49" s="127"/>
    </row>
    <row r="50" spans="1:9" ht="15" customHeight="1">
      <c r="A50" s="124">
        <v>45052</v>
      </c>
      <c r="B50" s="125" t="s">
        <v>250</v>
      </c>
      <c r="C50" s="125" t="s">
        <v>211</v>
      </c>
      <c r="D50" s="125" t="s">
        <v>191</v>
      </c>
      <c r="E50" s="125" t="s">
        <v>192</v>
      </c>
      <c r="F50" s="125" t="s">
        <v>193</v>
      </c>
      <c r="G50" s="125" t="s">
        <v>194</v>
      </c>
      <c r="H50" s="126">
        <v>98</v>
      </c>
      <c r="I50" s="127"/>
    </row>
    <row r="51" spans="1:9" ht="15" customHeight="1">
      <c r="A51" s="124">
        <v>45057</v>
      </c>
      <c r="B51" s="125" t="s">
        <v>250</v>
      </c>
      <c r="C51" s="125" t="s">
        <v>211</v>
      </c>
      <c r="D51" s="125" t="s">
        <v>191</v>
      </c>
      <c r="E51" s="125" t="s">
        <v>192</v>
      </c>
      <c r="F51" s="125" t="s">
        <v>193</v>
      </c>
      <c r="G51" s="125" t="s">
        <v>194</v>
      </c>
      <c r="H51" s="126">
        <v>103</v>
      </c>
      <c r="I51" s="127"/>
    </row>
    <row r="52" spans="1:9" ht="15" customHeight="1">
      <c r="A52" s="124">
        <v>45058</v>
      </c>
      <c r="B52" s="125" t="s">
        <v>250</v>
      </c>
      <c r="C52" s="125" t="s">
        <v>211</v>
      </c>
      <c r="D52" s="125" t="s">
        <v>198</v>
      </c>
      <c r="E52" s="125" t="s">
        <v>192</v>
      </c>
      <c r="F52" s="125" t="s">
        <v>216</v>
      </c>
      <c r="G52" s="125" t="s">
        <v>217</v>
      </c>
      <c r="H52" s="126">
        <v>87</v>
      </c>
      <c r="I52" s="127"/>
    </row>
    <row r="53" spans="1:9" ht="15" customHeight="1">
      <c r="A53" s="124">
        <v>45078</v>
      </c>
      <c r="B53" s="125" t="s">
        <v>250</v>
      </c>
      <c r="C53" s="125" t="s">
        <v>211</v>
      </c>
      <c r="D53" s="125" t="s">
        <v>191</v>
      </c>
      <c r="E53" s="125" t="s">
        <v>192</v>
      </c>
      <c r="F53" s="125" t="s">
        <v>193</v>
      </c>
      <c r="G53" s="125" t="s">
        <v>194</v>
      </c>
      <c r="H53" s="126">
        <v>87</v>
      </c>
      <c r="I53" s="127"/>
    </row>
    <row r="54" spans="1:9" ht="15" customHeight="1">
      <c r="A54" s="124">
        <v>45099</v>
      </c>
      <c r="B54" s="125" t="s">
        <v>250</v>
      </c>
      <c r="C54" s="125" t="s">
        <v>211</v>
      </c>
      <c r="D54" s="125" t="s">
        <v>191</v>
      </c>
      <c r="E54" s="125" t="s">
        <v>192</v>
      </c>
      <c r="F54" s="125" t="s">
        <v>193</v>
      </c>
      <c r="G54" s="125" t="s">
        <v>194</v>
      </c>
      <c r="H54" s="126">
        <v>93</v>
      </c>
      <c r="I54" s="127"/>
    </row>
    <row r="55" spans="1:9" ht="15" customHeight="1">
      <c r="A55" s="124">
        <v>45129</v>
      </c>
      <c r="B55" s="125" t="s">
        <v>250</v>
      </c>
      <c r="C55" s="125" t="s">
        <v>211</v>
      </c>
      <c r="D55" s="125" t="s">
        <v>191</v>
      </c>
      <c r="E55" s="125" t="s">
        <v>192</v>
      </c>
      <c r="F55" s="125" t="s">
        <v>193</v>
      </c>
      <c r="G55" s="125" t="s">
        <v>194</v>
      </c>
      <c r="H55" s="126">
        <v>94.5</v>
      </c>
      <c r="I55" s="127"/>
    </row>
    <row r="56" spans="1:9" ht="15" customHeight="1">
      <c r="A56" s="124">
        <v>45130</v>
      </c>
      <c r="B56" s="125" t="s">
        <v>250</v>
      </c>
      <c r="C56" s="125" t="s">
        <v>211</v>
      </c>
      <c r="D56" s="125" t="s">
        <v>191</v>
      </c>
      <c r="E56" s="125" t="s">
        <v>192</v>
      </c>
      <c r="F56" s="125" t="s">
        <v>193</v>
      </c>
      <c r="G56" s="125" t="s">
        <v>194</v>
      </c>
      <c r="H56" s="126">
        <v>87</v>
      </c>
      <c r="I56" s="127"/>
    </row>
    <row r="57" spans="1:9" ht="15" customHeight="1">
      <c r="A57" s="124">
        <v>45173</v>
      </c>
      <c r="B57" s="125" t="s">
        <v>250</v>
      </c>
      <c r="C57" s="125" t="s">
        <v>211</v>
      </c>
      <c r="D57" s="125" t="s">
        <v>191</v>
      </c>
      <c r="E57" s="125" t="s">
        <v>192</v>
      </c>
      <c r="F57" s="125" t="s">
        <v>193</v>
      </c>
      <c r="G57" s="125" t="s">
        <v>194</v>
      </c>
      <c r="H57" s="126">
        <v>99</v>
      </c>
      <c r="I57" s="127"/>
    </row>
    <row r="58" spans="1:9" ht="15" customHeight="1">
      <c r="A58" s="124">
        <v>45177</v>
      </c>
      <c r="B58" s="125" t="s">
        <v>250</v>
      </c>
      <c r="C58" s="125" t="s">
        <v>211</v>
      </c>
      <c r="D58" s="125" t="s">
        <v>191</v>
      </c>
      <c r="E58" s="125" t="s">
        <v>192</v>
      </c>
      <c r="F58" s="125" t="s">
        <v>193</v>
      </c>
      <c r="G58" s="125" t="s">
        <v>194</v>
      </c>
      <c r="H58" s="126">
        <v>104.6</v>
      </c>
    </row>
    <row r="59" spans="1:9" ht="15" customHeight="1">
      <c r="A59" s="124">
        <v>45178</v>
      </c>
      <c r="B59" s="125" t="s">
        <v>250</v>
      </c>
      <c r="C59" s="125" t="s">
        <v>211</v>
      </c>
      <c r="D59" s="125" t="s">
        <v>191</v>
      </c>
      <c r="E59" s="125" t="s">
        <v>192</v>
      </c>
      <c r="F59" s="125" t="s">
        <v>193</v>
      </c>
      <c r="G59" s="125" t="s">
        <v>194</v>
      </c>
      <c r="H59" s="126">
        <v>91.6</v>
      </c>
      <c r="I59" s="127"/>
    </row>
    <row r="60" spans="1:9" ht="15" customHeight="1">
      <c r="A60" s="124">
        <v>45183</v>
      </c>
      <c r="B60" s="125" t="s">
        <v>250</v>
      </c>
      <c r="C60" s="125" t="s">
        <v>211</v>
      </c>
      <c r="D60" s="125" t="s">
        <v>191</v>
      </c>
      <c r="E60" s="125" t="s">
        <v>193</v>
      </c>
      <c r="F60" s="125" t="s">
        <v>192</v>
      </c>
      <c r="G60" s="125" t="s">
        <v>194</v>
      </c>
      <c r="H60" s="126">
        <v>100</v>
      </c>
      <c r="I60" s="127"/>
    </row>
    <row r="61" spans="1:9" ht="15" customHeight="1">
      <c r="A61" s="124">
        <v>45185</v>
      </c>
      <c r="B61" s="125" t="s">
        <v>250</v>
      </c>
      <c r="C61" s="125" t="s">
        <v>211</v>
      </c>
      <c r="D61" s="125" t="s">
        <v>191</v>
      </c>
      <c r="E61" s="125" t="s">
        <v>192</v>
      </c>
      <c r="F61" s="125" t="s">
        <v>193</v>
      </c>
      <c r="G61" s="125" t="s">
        <v>194</v>
      </c>
      <c r="H61" s="126">
        <v>171</v>
      </c>
      <c r="I61" s="127"/>
    </row>
    <row r="62" spans="1:9" ht="15" customHeight="1">
      <c r="A62" s="124">
        <v>45186</v>
      </c>
      <c r="B62" s="125" t="s">
        <v>250</v>
      </c>
      <c r="C62" s="125" t="s">
        <v>211</v>
      </c>
      <c r="D62" s="125" t="s">
        <v>191</v>
      </c>
      <c r="E62" s="125" t="s">
        <v>192</v>
      </c>
      <c r="F62" s="125" t="s">
        <v>193</v>
      </c>
      <c r="G62" s="125" t="s">
        <v>194</v>
      </c>
      <c r="H62" s="126">
        <v>81.599999999999994</v>
      </c>
      <c r="I62" s="127"/>
    </row>
    <row r="63" spans="1:9" ht="15" customHeight="1">
      <c r="A63" s="124">
        <v>45191</v>
      </c>
      <c r="B63" s="125" t="s">
        <v>250</v>
      </c>
      <c r="C63" s="125" t="s">
        <v>211</v>
      </c>
      <c r="D63" s="125" t="s">
        <v>191</v>
      </c>
      <c r="E63" s="125" t="s">
        <v>192</v>
      </c>
      <c r="F63" s="125" t="s">
        <v>193</v>
      </c>
      <c r="G63" s="125" t="s">
        <v>194</v>
      </c>
      <c r="H63" s="126">
        <v>109.7</v>
      </c>
      <c r="I63" s="127"/>
    </row>
    <row r="64" spans="1:9" ht="15" customHeight="1">
      <c r="A64" s="124">
        <v>45192</v>
      </c>
      <c r="B64" s="125" t="s">
        <v>250</v>
      </c>
      <c r="C64" s="125" t="s">
        <v>211</v>
      </c>
      <c r="D64" s="125" t="s">
        <v>191</v>
      </c>
      <c r="E64" s="125" t="s">
        <v>192</v>
      </c>
      <c r="F64" s="125" t="s">
        <v>193</v>
      </c>
      <c r="G64" s="125" t="s">
        <v>194</v>
      </c>
      <c r="H64" s="126">
        <v>114</v>
      </c>
      <c r="I64" s="127"/>
    </row>
    <row r="65" spans="1:9" ht="15" customHeight="1">
      <c r="A65" s="124">
        <v>45192</v>
      </c>
      <c r="B65" s="125" t="s">
        <v>250</v>
      </c>
      <c r="C65" s="125" t="s">
        <v>211</v>
      </c>
      <c r="D65" s="125" t="s">
        <v>198</v>
      </c>
      <c r="E65" s="125" t="s">
        <v>192</v>
      </c>
      <c r="F65" s="125" t="s">
        <v>251</v>
      </c>
      <c r="G65" s="125" t="s">
        <v>217</v>
      </c>
      <c r="H65" s="126">
        <v>95</v>
      </c>
      <c r="I65" s="127"/>
    </row>
    <row r="66" spans="1:9" ht="15" customHeight="1">
      <c r="A66" s="131">
        <v>45169</v>
      </c>
      <c r="B66" s="125" t="s">
        <v>252</v>
      </c>
      <c r="C66" s="125" t="s">
        <v>253</v>
      </c>
      <c r="D66" s="125" t="s">
        <v>228</v>
      </c>
      <c r="E66" s="132" t="s">
        <v>192</v>
      </c>
      <c r="F66" s="132" t="s">
        <v>216</v>
      </c>
      <c r="G66" s="132" t="s">
        <v>217</v>
      </c>
      <c r="H66" s="133">
        <v>281.18</v>
      </c>
      <c r="I66" s="127"/>
    </row>
    <row r="67" spans="1:9" ht="15" customHeight="1">
      <c r="A67" s="124">
        <v>45183</v>
      </c>
      <c r="B67" s="125" t="s">
        <v>252</v>
      </c>
      <c r="C67" s="125" t="s">
        <v>253</v>
      </c>
      <c r="D67" s="125" t="s">
        <v>191</v>
      </c>
      <c r="E67" s="125" t="s">
        <v>192</v>
      </c>
      <c r="F67" s="125" t="s">
        <v>193</v>
      </c>
      <c r="G67" s="125" t="s">
        <v>194</v>
      </c>
      <c r="H67" s="126">
        <v>84.5</v>
      </c>
      <c r="I67" s="127"/>
    </row>
    <row r="68" spans="1:9" ht="15" customHeight="1">
      <c r="A68" s="131">
        <v>45183</v>
      </c>
      <c r="B68" s="125" t="s">
        <v>252</v>
      </c>
      <c r="C68" s="125" t="s">
        <v>253</v>
      </c>
      <c r="D68" s="125" t="s">
        <v>198</v>
      </c>
      <c r="E68" s="132" t="s">
        <v>193</v>
      </c>
      <c r="F68" s="125" t="s">
        <v>199</v>
      </c>
      <c r="G68" s="125" t="s">
        <v>254</v>
      </c>
      <c r="H68" s="133">
        <v>147.03</v>
      </c>
      <c r="I68" s="127"/>
    </row>
    <row r="69" spans="1:9" ht="15" customHeight="1">
      <c r="A69" s="124">
        <v>45220</v>
      </c>
      <c r="B69" s="125" t="s">
        <v>252</v>
      </c>
      <c r="C69" s="125" t="s">
        <v>253</v>
      </c>
      <c r="D69" s="125" t="s">
        <v>191</v>
      </c>
      <c r="E69" s="125" t="s">
        <v>192</v>
      </c>
      <c r="F69" s="125" t="s">
        <v>193</v>
      </c>
      <c r="G69" s="125" t="s">
        <v>194</v>
      </c>
      <c r="H69" s="126">
        <v>105.4</v>
      </c>
    </row>
    <row r="70" spans="1:9" ht="15" customHeight="1">
      <c r="A70" s="124">
        <v>45225</v>
      </c>
      <c r="B70" s="125" t="s">
        <v>252</v>
      </c>
      <c r="C70" s="125" t="s">
        <v>253</v>
      </c>
      <c r="D70" s="125" t="s">
        <v>191</v>
      </c>
      <c r="E70" s="125" t="s">
        <v>192</v>
      </c>
      <c r="F70" s="125" t="s">
        <v>193</v>
      </c>
      <c r="G70" s="125" t="s">
        <v>194</v>
      </c>
      <c r="H70" s="126">
        <v>84.3</v>
      </c>
      <c r="I70" s="127"/>
    </row>
    <row r="71" spans="1:9" ht="15" customHeight="1">
      <c r="A71" s="131">
        <v>45227</v>
      </c>
      <c r="B71" s="125" t="s">
        <v>252</v>
      </c>
      <c r="C71" s="125" t="s">
        <v>253</v>
      </c>
      <c r="D71" s="125" t="s">
        <v>191</v>
      </c>
      <c r="E71" s="132" t="s">
        <v>192</v>
      </c>
      <c r="F71" s="132" t="s">
        <v>193</v>
      </c>
      <c r="G71" s="125" t="s">
        <v>194</v>
      </c>
      <c r="H71" s="133">
        <v>130.6</v>
      </c>
      <c r="I71" s="127"/>
    </row>
    <row r="72" spans="1:9" ht="15" customHeight="1">
      <c r="A72" s="124">
        <v>45228</v>
      </c>
      <c r="B72" s="125" t="s">
        <v>252</v>
      </c>
      <c r="C72" s="125" t="s">
        <v>253</v>
      </c>
      <c r="D72" s="125" t="s">
        <v>191</v>
      </c>
      <c r="E72" s="125" t="s">
        <v>193</v>
      </c>
      <c r="F72" s="125" t="s">
        <v>192</v>
      </c>
      <c r="G72" s="125" t="s">
        <v>194</v>
      </c>
      <c r="H72" s="126">
        <v>95.3</v>
      </c>
      <c r="I72" s="127"/>
    </row>
    <row r="73" spans="1:9" ht="15" customHeight="1">
      <c r="A73" s="124">
        <v>45092</v>
      </c>
      <c r="B73" s="125" t="s">
        <v>255</v>
      </c>
      <c r="C73" s="125" t="s">
        <v>207</v>
      </c>
      <c r="D73" s="125" t="s">
        <v>191</v>
      </c>
      <c r="E73" s="125" t="s">
        <v>193</v>
      </c>
      <c r="F73" s="125" t="s">
        <v>192</v>
      </c>
      <c r="G73" s="125" t="s">
        <v>194</v>
      </c>
      <c r="H73" s="126">
        <v>84</v>
      </c>
      <c r="I73" s="127"/>
    </row>
    <row r="74" spans="1:9" ht="15" customHeight="1">
      <c r="A74" s="124">
        <v>45113</v>
      </c>
      <c r="B74" s="125" t="s">
        <v>255</v>
      </c>
      <c r="C74" s="125" t="s">
        <v>207</v>
      </c>
      <c r="D74" s="125" t="s">
        <v>191</v>
      </c>
      <c r="E74" s="125" t="s">
        <v>193</v>
      </c>
      <c r="F74" s="125" t="s">
        <v>192</v>
      </c>
      <c r="G74" s="125" t="s">
        <v>194</v>
      </c>
      <c r="H74" s="126">
        <v>99</v>
      </c>
      <c r="I74" s="127"/>
    </row>
    <row r="75" spans="1:9" ht="15" customHeight="1">
      <c r="A75" s="131">
        <v>45016</v>
      </c>
      <c r="B75" s="125" t="s">
        <v>256</v>
      </c>
      <c r="C75" s="125" t="s">
        <v>220</v>
      </c>
      <c r="D75" s="125" t="s">
        <v>198</v>
      </c>
      <c r="E75" s="132" t="s">
        <v>192</v>
      </c>
      <c r="F75" s="132" t="s">
        <v>257</v>
      </c>
      <c r="G75" s="132" t="s">
        <v>194</v>
      </c>
      <c r="H75" s="133">
        <v>117.45</v>
      </c>
      <c r="I75" s="127"/>
    </row>
    <row r="76" spans="1:9" ht="15" customHeight="1">
      <c r="A76" s="131">
        <v>45039</v>
      </c>
      <c r="B76" s="125" t="s">
        <v>256</v>
      </c>
      <c r="C76" s="125" t="s">
        <v>220</v>
      </c>
      <c r="D76" s="125" t="s">
        <v>191</v>
      </c>
      <c r="E76" s="132" t="s">
        <v>192</v>
      </c>
      <c r="F76" s="132" t="s">
        <v>193</v>
      </c>
      <c r="G76" s="125" t="s">
        <v>194</v>
      </c>
      <c r="H76" s="133">
        <v>87</v>
      </c>
      <c r="I76" s="127"/>
    </row>
    <row r="77" spans="1:9" ht="15" customHeight="1">
      <c r="A77" s="131">
        <v>45094</v>
      </c>
      <c r="B77" s="125" t="s">
        <v>256</v>
      </c>
      <c r="C77" s="125" t="s">
        <v>220</v>
      </c>
      <c r="D77" s="125" t="s">
        <v>191</v>
      </c>
      <c r="E77" s="132" t="s">
        <v>192</v>
      </c>
      <c r="F77" s="132" t="s">
        <v>193</v>
      </c>
      <c r="G77" s="125" t="s">
        <v>194</v>
      </c>
      <c r="H77" s="133">
        <v>87</v>
      </c>
      <c r="I77" s="127"/>
    </row>
    <row r="78" spans="1:9" ht="15" customHeight="1">
      <c r="A78" s="124">
        <v>45092</v>
      </c>
      <c r="B78" s="125" t="s">
        <v>256</v>
      </c>
      <c r="C78" s="125" t="s">
        <v>220</v>
      </c>
      <c r="D78" s="125" t="s">
        <v>198</v>
      </c>
      <c r="E78" s="125" t="s">
        <v>192</v>
      </c>
      <c r="F78" s="125" t="s">
        <v>199</v>
      </c>
      <c r="G78" s="125" t="s">
        <v>200</v>
      </c>
      <c r="H78" s="126">
        <v>119</v>
      </c>
      <c r="I78" s="127"/>
    </row>
    <row r="79" spans="1:9" ht="15" customHeight="1">
      <c r="A79" s="124">
        <v>45122</v>
      </c>
      <c r="B79" s="125" t="s">
        <v>256</v>
      </c>
      <c r="C79" s="125" t="s">
        <v>220</v>
      </c>
      <c r="D79" s="125" t="s">
        <v>198</v>
      </c>
      <c r="E79" s="125" t="s">
        <v>192</v>
      </c>
      <c r="F79" s="125" t="s">
        <v>199</v>
      </c>
      <c r="G79" s="125" t="s">
        <v>200</v>
      </c>
      <c r="H79" s="126">
        <v>81</v>
      </c>
      <c r="I79" s="127"/>
    </row>
    <row r="80" spans="1:9" ht="15" customHeight="1">
      <c r="A80" s="124">
        <v>45227</v>
      </c>
      <c r="B80" s="125" t="s">
        <v>256</v>
      </c>
      <c r="C80" s="125" t="s">
        <v>220</v>
      </c>
      <c r="D80" s="125" t="s">
        <v>191</v>
      </c>
      <c r="E80" s="125" t="s">
        <v>192</v>
      </c>
      <c r="F80" s="125" t="s">
        <v>193</v>
      </c>
      <c r="G80" s="125" t="s">
        <v>194</v>
      </c>
      <c r="H80" s="126">
        <v>129.5</v>
      </c>
      <c r="I80" s="127"/>
    </row>
    <row r="81" spans="1:13" ht="15" customHeight="1">
      <c r="A81" s="124">
        <v>45079</v>
      </c>
      <c r="B81" s="125" t="s">
        <v>256</v>
      </c>
      <c r="C81" s="125" t="s">
        <v>220</v>
      </c>
      <c r="D81" s="125" t="s">
        <v>198</v>
      </c>
      <c r="E81" s="125" t="s">
        <v>192</v>
      </c>
      <c r="F81" s="125" t="s">
        <v>199</v>
      </c>
      <c r="G81" s="125" t="s">
        <v>194</v>
      </c>
      <c r="H81" s="126">
        <v>127.46</v>
      </c>
      <c r="I81" s="127"/>
    </row>
    <row r="82" spans="1:13" ht="15" customHeight="1">
      <c r="A82" s="124">
        <v>45081</v>
      </c>
      <c r="B82" s="125" t="s">
        <v>258</v>
      </c>
      <c r="C82" s="125" t="s">
        <v>207</v>
      </c>
      <c r="D82" s="125" t="s">
        <v>191</v>
      </c>
      <c r="E82" s="125" t="s">
        <v>192</v>
      </c>
      <c r="F82" s="125" t="s">
        <v>193</v>
      </c>
      <c r="G82" s="125" t="s">
        <v>194</v>
      </c>
      <c r="H82" s="126">
        <v>87</v>
      </c>
      <c r="I82" s="127"/>
    </row>
    <row r="83" spans="1:13" ht="15" customHeight="1">
      <c r="A83" s="124">
        <v>45079</v>
      </c>
      <c r="B83" s="125" t="s">
        <v>258</v>
      </c>
      <c r="C83" s="125" t="s">
        <v>207</v>
      </c>
      <c r="D83" s="125" t="s">
        <v>228</v>
      </c>
      <c r="E83" s="125" t="s">
        <v>192</v>
      </c>
      <c r="F83" s="125" t="s">
        <v>249</v>
      </c>
      <c r="G83" s="125" t="s">
        <v>194</v>
      </c>
      <c r="H83" s="126">
        <v>124.34</v>
      </c>
      <c r="I83" s="127"/>
    </row>
    <row r="84" spans="1:13" ht="15" customHeight="1">
      <c r="A84" s="124">
        <v>45089</v>
      </c>
      <c r="B84" s="125" t="s">
        <v>258</v>
      </c>
      <c r="C84" s="125" t="s">
        <v>207</v>
      </c>
      <c r="D84" s="125" t="s">
        <v>191</v>
      </c>
      <c r="E84" s="125" t="s">
        <v>193</v>
      </c>
      <c r="F84" s="125" t="s">
        <v>192</v>
      </c>
      <c r="G84" s="125" t="s">
        <v>194</v>
      </c>
      <c r="H84" s="126">
        <v>83.1</v>
      </c>
      <c r="I84" s="127"/>
    </row>
    <row r="85" spans="1:13" ht="15" customHeight="1">
      <c r="A85" s="124">
        <v>45093</v>
      </c>
      <c r="B85" s="125" t="s">
        <v>258</v>
      </c>
      <c r="C85" s="125" t="s">
        <v>207</v>
      </c>
      <c r="D85" s="125" t="s">
        <v>198</v>
      </c>
      <c r="E85" s="125" t="s">
        <v>192</v>
      </c>
      <c r="F85" s="125" t="s">
        <v>199</v>
      </c>
      <c r="G85" s="125" t="s">
        <v>200</v>
      </c>
      <c r="H85" s="126">
        <v>134.5</v>
      </c>
      <c r="I85" s="127"/>
    </row>
    <row r="86" spans="1:13" ht="15" customHeight="1">
      <c r="A86" s="124">
        <v>45179</v>
      </c>
      <c r="B86" s="125" t="s">
        <v>258</v>
      </c>
      <c r="C86" s="125" t="s">
        <v>207</v>
      </c>
      <c r="D86" s="125" t="s">
        <v>191</v>
      </c>
      <c r="E86" s="125" t="s">
        <v>192</v>
      </c>
      <c r="F86" s="125" t="s">
        <v>193</v>
      </c>
      <c r="G86" s="125" t="s">
        <v>194</v>
      </c>
      <c r="H86" s="126">
        <v>99</v>
      </c>
      <c r="I86" s="127"/>
    </row>
    <row r="87" spans="1:13" ht="15" customHeight="1">
      <c r="A87" s="124">
        <v>45179</v>
      </c>
      <c r="B87" s="125" t="s">
        <v>258</v>
      </c>
      <c r="C87" s="125" t="s">
        <v>207</v>
      </c>
      <c r="D87" s="125" t="s">
        <v>198</v>
      </c>
      <c r="E87" s="125" t="s">
        <v>192</v>
      </c>
      <c r="F87" s="125" t="s">
        <v>199</v>
      </c>
      <c r="G87" s="125" t="s">
        <v>200</v>
      </c>
      <c r="H87" s="126">
        <v>99</v>
      </c>
    </row>
    <row r="88" spans="1:13" ht="15" customHeight="1">
      <c r="A88" s="124">
        <v>45184</v>
      </c>
      <c r="B88" s="125" t="s">
        <v>258</v>
      </c>
      <c r="C88" s="125" t="s">
        <v>207</v>
      </c>
      <c r="D88" s="125" t="s">
        <v>191</v>
      </c>
      <c r="E88" s="125" t="s">
        <v>193</v>
      </c>
      <c r="F88" s="125" t="s">
        <v>192</v>
      </c>
      <c r="G88" s="125" t="s">
        <v>194</v>
      </c>
      <c r="H88" s="126">
        <v>159</v>
      </c>
      <c r="I88" s="127"/>
    </row>
    <row r="89" spans="1:13" ht="15" customHeight="1">
      <c r="A89" s="124">
        <v>45192</v>
      </c>
      <c r="B89" s="125" t="s">
        <v>258</v>
      </c>
      <c r="C89" s="125" t="s">
        <v>207</v>
      </c>
      <c r="D89" s="125" t="s">
        <v>191</v>
      </c>
      <c r="E89" s="125" t="s">
        <v>192</v>
      </c>
      <c r="F89" s="125" t="s">
        <v>193</v>
      </c>
      <c r="G89" s="125" t="s">
        <v>194</v>
      </c>
      <c r="H89" s="126">
        <v>98.4</v>
      </c>
      <c r="I89" s="127"/>
    </row>
    <row r="90" spans="1:13" ht="15" customHeight="1">
      <c r="A90" s="124">
        <v>45199</v>
      </c>
      <c r="B90" s="125" t="s">
        <v>258</v>
      </c>
      <c r="C90" s="125" t="s">
        <v>207</v>
      </c>
      <c r="D90" s="125" t="s">
        <v>191</v>
      </c>
      <c r="E90" s="125" t="s">
        <v>192</v>
      </c>
      <c r="F90" s="125" t="s">
        <v>193</v>
      </c>
      <c r="G90" s="125" t="s">
        <v>194</v>
      </c>
      <c r="H90" s="126">
        <v>99</v>
      </c>
      <c r="I90" s="127"/>
    </row>
    <row r="91" spans="1:13" ht="15" customHeight="1">
      <c r="A91" s="124">
        <v>45213</v>
      </c>
      <c r="B91" s="125" t="s">
        <v>258</v>
      </c>
      <c r="C91" s="125" t="s">
        <v>207</v>
      </c>
      <c r="D91" s="125" t="s">
        <v>191</v>
      </c>
      <c r="E91" s="125" t="s">
        <v>192</v>
      </c>
      <c r="F91" s="125" t="s">
        <v>193</v>
      </c>
      <c r="G91" s="125" t="s">
        <v>254</v>
      </c>
      <c r="H91" s="126">
        <v>87</v>
      </c>
      <c r="I91" s="127"/>
    </row>
    <row r="92" spans="1:13" s="151" customFormat="1" ht="15" customHeight="1">
      <c r="A92" s="149"/>
      <c r="B92" s="149"/>
      <c r="C92" s="149"/>
      <c r="D92" s="149"/>
      <c r="E92" s="149"/>
      <c r="F92" s="149"/>
      <c r="G92" s="149"/>
      <c r="H92" s="150"/>
      <c r="I92" s="150"/>
      <c r="L92" s="130"/>
      <c r="M92" s="130"/>
    </row>
    <row r="93" spans="1:13" ht="15" customHeight="1"/>
    <row r="94" spans="1:13" ht="15" customHeight="1"/>
    <row r="95" spans="1:13" ht="15" customHeight="1"/>
    <row r="96" spans="1:13" ht="15" customHeight="1"/>
    <row r="97" spans="1:13" ht="15" customHeight="1"/>
    <row r="98" spans="1:13" ht="15" customHeight="1">
      <c r="A98" s="152"/>
      <c r="B98" s="152"/>
      <c r="C98" s="152"/>
      <c r="D98" s="152"/>
      <c r="E98" s="152"/>
    </row>
    <row r="99" spans="1:13" s="153" customFormat="1" ht="15" customHeight="1">
      <c r="A99" s="130"/>
      <c r="B99" s="130"/>
      <c r="C99" s="130"/>
      <c r="D99" s="130"/>
      <c r="E99" s="130"/>
      <c r="F99" s="130"/>
      <c r="G99" s="130"/>
      <c r="H99" s="134"/>
      <c r="I99" s="134"/>
      <c r="L99" s="130"/>
      <c r="M99" s="130"/>
    </row>
    <row r="100" spans="1:13" s="153" customFormat="1" ht="15" customHeight="1">
      <c r="A100" s="130"/>
      <c r="B100" s="130"/>
      <c r="C100" s="130"/>
      <c r="D100" s="130"/>
      <c r="E100" s="130"/>
      <c r="F100" s="130"/>
      <c r="G100" s="130"/>
      <c r="H100" s="134"/>
      <c r="I100" s="134"/>
      <c r="L100" s="130"/>
      <c r="M100" s="130"/>
    </row>
    <row r="101" spans="1:13" s="153" customFormat="1" ht="15" customHeight="1">
      <c r="A101" s="130"/>
      <c r="B101" s="130"/>
      <c r="C101" s="130"/>
      <c r="D101" s="130"/>
      <c r="E101" s="130"/>
      <c r="F101" s="130"/>
      <c r="G101" s="130"/>
      <c r="H101" s="134"/>
      <c r="I101" s="134"/>
      <c r="L101" s="130"/>
      <c r="M101" s="130"/>
    </row>
    <row r="102" spans="1:13" s="153" customFormat="1" ht="15" customHeight="1">
      <c r="A102" s="130"/>
      <c r="B102" s="130"/>
      <c r="C102" s="130"/>
      <c r="D102" s="130"/>
      <c r="E102" s="130"/>
      <c r="F102" s="130"/>
      <c r="G102" s="130"/>
      <c r="H102" s="134"/>
      <c r="I102" s="134"/>
      <c r="L102" s="130"/>
      <c r="M102" s="130"/>
    </row>
    <row r="103" spans="1:13" s="153" customFormat="1" ht="15" customHeight="1">
      <c r="A103" s="130"/>
      <c r="B103" s="130"/>
      <c r="C103" s="130"/>
      <c r="D103" s="130"/>
      <c r="E103" s="130"/>
      <c r="F103" s="130"/>
      <c r="G103" s="130"/>
      <c r="H103" s="134"/>
      <c r="I103" s="134"/>
      <c r="L103" s="130"/>
      <c r="M103" s="130"/>
    </row>
    <row r="104" spans="1:13" s="153" customFormat="1" ht="15" customHeight="1">
      <c r="A104" s="152"/>
      <c r="B104" s="130"/>
      <c r="C104" s="130"/>
      <c r="D104" s="130"/>
      <c r="E104" s="130"/>
      <c r="F104" s="130"/>
      <c r="G104" s="130"/>
      <c r="H104" s="134"/>
      <c r="I104" s="134"/>
      <c r="L104" s="130"/>
      <c r="M104" s="130"/>
    </row>
    <row r="105" spans="1:13" s="153" customFormat="1" ht="15" customHeight="1">
      <c r="A105" s="130"/>
      <c r="B105" s="130"/>
      <c r="C105" s="130"/>
      <c r="D105" s="130"/>
      <c r="E105" s="130"/>
      <c r="F105" s="130"/>
      <c r="G105" s="130"/>
      <c r="H105" s="134"/>
      <c r="I105" s="134"/>
      <c r="L105" s="130"/>
      <c r="M105" s="130"/>
    </row>
    <row r="106" spans="1:13" s="153" customFormat="1" ht="15" customHeight="1">
      <c r="A106" s="130"/>
      <c r="B106" s="130"/>
      <c r="C106" s="130"/>
      <c r="D106" s="130"/>
      <c r="E106" s="130"/>
      <c r="F106" s="130"/>
      <c r="G106" s="130"/>
      <c r="H106" s="134"/>
      <c r="I106" s="134"/>
      <c r="L106" s="130"/>
      <c r="M106" s="130"/>
    </row>
    <row r="107" spans="1:13" s="153" customFormat="1" ht="15" customHeight="1">
      <c r="A107" s="130"/>
      <c r="B107" s="130"/>
      <c r="C107" s="130"/>
      <c r="D107" s="130"/>
      <c r="E107" s="130"/>
      <c r="F107" s="130"/>
      <c r="G107" s="130"/>
      <c r="H107" s="134"/>
      <c r="I107" s="134"/>
      <c r="L107" s="130"/>
      <c r="M107" s="130"/>
    </row>
    <row r="108" spans="1:13" s="153" customFormat="1" ht="15" customHeight="1">
      <c r="A108" s="130"/>
      <c r="B108" s="130"/>
      <c r="C108" s="130"/>
      <c r="D108" s="130"/>
      <c r="E108" s="130"/>
      <c r="F108" s="130"/>
      <c r="G108" s="130"/>
      <c r="H108" s="134"/>
      <c r="I108" s="134"/>
      <c r="L108" s="130"/>
      <c r="M108" s="130"/>
    </row>
    <row r="109" spans="1:13" s="153" customFormat="1" ht="15" customHeight="1">
      <c r="A109" s="130"/>
      <c r="B109" s="130"/>
      <c r="C109" s="130"/>
      <c r="D109" s="130"/>
      <c r="E109" s="130"/>
      <c r="F109" s="130"/>
      <c r="G109" s="130"/>
      <c r="H109" s="134"/>
      <c r="I109" s="134"/>
      <c r="L109" s="130"/>
      <c r="M109" s="130"/>
    </row>
    <row r="110" spans="1:13" s="153" customFormat="1" ht="15" customHeight="1">
      <c r="A110" s="130"/>
      <c r="B110" s="130"/>
      <c r="C110" s="130"/>
      <c r="D110" s="130"/>
      <c r="E110" s="130"/>
      <c r="F110" s="130"/>
      <c r="G110" s="130"/>
      <c r="H110" s="134"/>
      <c r="I110" s="134"/>
      <c r="L110" s="130"/>
      <c r="M110" s="130"/>
    </row>
    <row r="111" spans="1:13" s="153" customFormat="1" ht="15" customHeight="1">
      <c r="A111" s="152"/>
      <c r="B111" s="130"/>
      <c r="C111" s="130"/>
      <c r="D111" s="130"/>
      <c r="E111" s="130"/>
      <c r="F111" s="130"/>
      <c r="G111" s="130"/>
      <c r="H111" s="134"/>
      <c r="I111" s="134"/>
      <c r="L111" s="130"/>
      <c r="M111" s="130"/>
    </row>
    <row r="112" spans="1:13" s="153" customFormat="1" ht="15" customHeight="1">
      <c r="A112" s="130"/>
      <c r="B112" s="130"/>
      <c r="C112" s="130"/>
      <c r="D112" s="130"/>
      <c r="E112" s="130"/>
      <c r="F112" s="130"/>
      <c r="G112" s="130"/>
      <c r="H112" s="134"/>
      <c r="I112" s="134"/>
      <c r="L112" s="130"/>
      <c r="M112" s="130"/>
    </row>
    <row r="113" spans="1:13" s="153" customFormat="1" ht="15" customHeight="1">
      <c r="A113" s="130"/>
      <c r="B113" s="130"/>
      <c r="C113" s="130"/>
      <c r="D113" s="130"/>
      <c r="E113" s="130"/>
      <c r="F113" s="130"/>
      <c r="G113" s="130"/>
      <c r="H113" s="134"/>
      <c r="I113" s="134"/>
      <c r="L113" s="130"/>
      <c r="M113" s="130"/>
    </row>
    <row r="114" spans="1:13" s="153" customFormat="1" ht="15" customHeight="1">
      <c r="A114" s="130"/>
      <c r="B114" s="130"/>
      <c r="C114" s="130"/>
      <c r="D114" s="130"/>
      <c r="E114" s="130"/>
      <c r="F114" s="130"/>
      <c r="G114" s="130"/>
      <c r="H114" s="134"/>
      <c r="I114" s="134"/>
      <c r="L114" s="130"/>
      <c r="M114" s="130"/>
    </row>
    <row r="115" spans="1:13" s="153" customFormat="1" ht="15" customHeight="1">
      <c r="A115" s="130"/>
      <c r="B115" s="130"/>
      <c r="C115" s="130"/>
      <c r="D115" s="130"/>
      <c r="E115" s="130"/>
      <c r="F115" s="130"/>
      <c r="G115" s="130"/>
      <c r="H115" s="134"/>
      <c r="I115" s="134"/>
      <c r="L115" s="130"/>
      <c r="M115" s="130"/>
    </row>
    <row r="116" spans="1:13" s="153" customFormat="1" ht="15" customHeight="1">
      <c r="A116" s="130"/>
      <c r="B116" s="130"/>
      <c r="C116" s="130"/>
      <c r="D116" s="130"/>
      <c r="E116" s="130"/>
      <c r="F116" s="130"/>
      <c r="G116" s="130"/>
      <c r="H116" s="134"/>
      <c r="I116" s="134"/>
      <c r="L116" s="130"/>
      <c r="M116" s="130"/>
    </row>
    <row r="117" spans="1:13" s="153" customFormat="1" ht="15" customHeight="1">
      <c r="A117" s="130"/>
      <c r="B117" s="130"/>
      <c r="C117" s="130"/>
      <c r="D117" s="130"/>
      <c r="E117" s="130"/>
      <c r="F117" s="130"/>
      <c r="G117" s="130"/>
      <c r="H117" s="134"/>
      <c r="I117" s="134"/>
      <c r="L117" s="130"/>
      <c r="M117" s="130"/>
    </row>
    <row r="118" spans="1:13" s="153" customFormat="1" ht="15" customHeight="1">
      <c r="A118" s="130"/>
      <c r="B118" s="130"/>
      <c r="C118" s="130"/>
      <c r="D118" s="130"/>
      <c r="E118" s="130"/>
      <c r="F118" s="130"/>
      <c r="G118" s="130"/>
      <c r="H118" s="134"/>
      <c r="I118" s="134"/>
      <c r="L118" s="130"/>
      <c r="M118" s="130"/>
    </row>
    <row r="119" spans="1:13" s="153" customFormat="1" ht="15" customHeight="1">
      <c r="A119" s="130"/>
      <c r="B119" s="130"/>
      <c r="C119" s="130"/>
      <c r="D119" s="130"/>
      <c r="E119" s="130"/>
      <c r="F119" s="130"/>
      <c r="G119" s="130"/>
      <c r="H119" s="134"/>
      <c r="I119" s="134"/>
      <c r="L119" s="130"/>
      <c r="M119" s="130"/>
    </row>
    <row r="120" spans="1:13" s="153" customFormat="1" ht="15" customHeight="1">
      <c r="A120" s="130"/>
      <c r="B120" s="130"/>
      <c r="C120" s="130"/>
      <c r="D120" s="130"/>
      <c r="E120" s="130"/>
      <c r="F120" s="130"/>
      <c r="G120" s="130"/>
      <c r="H120" s="134"/>
      <c r="I120" s="134"/>
      <c r="L120" s="130"/>
      <c r="M120" s="130"/>
    </row>
    <row r="121" spans="1:13" s="154" customFormat="1" ht="15" customHeight="1">
      <c r="A121" s="130"/>
      <c r="B121" s="130"/>
      <c r="C121" s="130"/>
      <c r="D121" s="130"/>
      <c r="E121" s="130"/>
      <c r="F121" s="130"/>
      <c r="G121" s="130"/>
      <c r="H121" s="134"/>
      <c r="I121" s="134"/>
      <c r="L121" s="155"/>
      <c r="M121" s="155"/>
    </row>
    <row r="122" spans="1:13" s="154" customFormat="1" ht="15" customHeight="1">
      <c r="A122" s="130"/>
      <c r="B122" s="130"/>
      <c r="C122" s="130"/>
      <c r="D122" s="130"/>
      <c r="E122" s="130"/>
      <c r="F122" s="130"/>
      <c r="G122" s="130"/>
      <c r="H122" s="134"/>
      <c r="I122" s="134"/>
      <c r="L122" s="155"/>
      <c r="M122" s="155"/>
    </row>
    <row r="123" spans="1:13" s="154" customFormat="1" ht="15" customHeight="1">
      <c r="A123" s="130"/>
      <c r="B123" s="130"/>
      <c r="C123" s="130"/>
      <c r="D123" s="130"/>
      <c r="E123" s="130"/>
      <c r="F123" s="130"/>
      <c r="G123" s="130"/>
      <c r="H123" s="134"/>
      <c r="I123" s="134"/>
      <c r="L123" s="155"/>
      <c r="M123" s="155"/>
    </row>
    <row r="124" spans="1:13" s="154" customFormat="1" ht="15" customHeight="1">
      <c r="A124" s="130"/>
      <c r="B124" s="130"/>
      <c r="C124" s="130"/>
      <c r="D124" s="130"/>
      <c r="E124" s="130"/>
      <c r="F124" s="130"/>
      <c r="G124" s="130"/>
      <c r="H124" s="134"/>
      <c r="I124" s="134"/>
      <c r="L124" s="155"/>
      <c r="M124" s="155"/>
    </row>
    <row r="125" spans="1:13" s="154" customFormat="1" ht="15" customHeight="1">
      <c r="A125" s="130"/>
      <c r="B125" s="130"/>
      <c r="C125" s="130"/>
      <c r="D125" s="130"/>
      <c r="E125" s="130"/>
      <c r="F125" s="130"/>
      <c r="G125" s="130"/>
      <c r="H125" s="134"/>
      <c r="I125" s="134"/>
      <c r="L125" s="155"/>
      <c r="M125" s="155"/>
    </row>
    <row r="126" spans="1:13" s="154" customFormat="1" ht="15" customHeight="1">
      <c r="A126" s="130"/>
      <c r="B126" s="130"/>
      <c r="C126" s="130"/>
      <c r="D126" s="130"/>
      <c r="E126" s="130"/>
      <c r="F126" s="130"/>
      <c r="G126" s="130"/>
      <c r="H126" s="134"/>
      <c r="I126" s="134"/>
      <c r="L126" s="155"/>
      <c r="M126" s="155"/>
    </row>
    <row r="127" spans="1:13" s="154" customFormat="1" ht="15" customHeight="1">
      <c r="A127" s="130"/>
      <c r="B127" s="130"/>
      <c r="C127" s="130"/>
      <c r="D127" s="130"/>
      <c r="E127" s="130"/>
      <c r="F127" s="130"/>
      <c r="G127" s="130"/>
      <c r="H127" s="134"/>
      <c r="I127" s="134"/>
      <c r="L127" s="155"/>
      <c r="M127" s="155"/>
    </row>
    <row r="128" spans="1:13" s="154" customFormat="1" ht="15" customHeight="1">
      <c r="A128" s="130"/>
      <c r="B128" s="130"/>
      <c r="C128" s="130"/>
      <c r="D128" s="130"/>
      <c r="E128" s="130"/>
      <c r="F128" s="130"/>
      <c r="G128" s="130"/>
      <c r="H128" s="134"/>
      <c r="I128" s="134"/>
      <c r="L128" s="155"/>
      <c r="M128" s="155"/>
    </row>
    <row r="129" spans="1:13" s="154" customFormat="1" ht="15" customHeight="1">
      <c r="A129" s="130"/>
      <c r="B129" s="130"/>
      <c r="C129" s="130"/>
      <c r="D129" s="130"/>
      <c r="E129" s="130"/>
      <c r="F129" s="130"/>
      <c r="G129" s="130"/>
      <c r="H129" s="134"/>
      <c r="I129" s="134"/>
      <c r="L129" s="155"/>
      <c r="M129" s="155"/>
    </row>
    <row r="130" spans="1:13" s="154" customFormat="1" ht="15" customHeight="1">
      <c r="A130" s="130"/>
      <c r="B130" s="130"/>
      <c r="C130" s="130"/>
      <c r="D130" s="130"/>
      <c r="E130" s="130"/>
      <c r="F130" s="130"/>
      <c r="G130" s="130"/>
      <c r="H130" s="134"/>
      <c r="I130" s="134"/>
      <c r="L130" s="155"/>
      <c r="M130" s="155"/>
    </row>
    <row r="131" spans="1:13" s="154" customFormat="1" ht="15" customHeight="1">
      <c r="A131" s="130"/>
      <c r="B131" s="130"/>
      <c r="C131" s="130"/>
      <c r="D131" s="130"/>
      <c r="E131" s="130"/>
      <c r="F131" s="130"/>
      <c r="G131" s="130"/>
      <c r="H131" s="134"/>
      <c r="I131" s="134"/>
      <c r="L131" s="155"/>
      <c r="M131" s="155"/>
    </row>
    <row r="132" spans="1:13" s="154" customFormat="1" ht="15" customHeight="1">
      <c r="A132" s="130"/>
      <c r="B132" s="130"/>
      <c r="C132" s="130"/>
      <c r="D132" s="130"/>
      <c r="E132" s="130"/>
      <c r="F132" s="130"/>
      <c r="G132" s="130"/>
      <c r="H132" s="134"/>
      <c r="I132" s="134"/>
      <c r="L132" s="155"/>
      <c r="M132" s="155"/>
    </row>
    <row r="133" spans="1:13" s="154" customFormat="1" ht="15" customHeight="1">
      <c r="A133" s="130"/>
      <c r="B133" s="130"/>
      <c r="C133" s="130"/>
      <c r="D133" s="130"/>
      <c r="E133" s="130"/>
      <c r="F133" s="130"/>
      <c r="G133" s="130"/>
      <c r="H133" s="134"/>
      <c r="I133" s="134"/>
      <c r="L133" s="155"/>
      <c r="M133" s="155"/>
    </row>
    <row r="134" spans="1:13" s="154" customFormat="1" ht="15" customHeight="1">
      <c r="A134" s="130"/>
      <c r="B134" s="130"/>
      <c r="C134" s="130"/>
      <c r="D134" s="130"/>
      <c r="E134" s="130"/>
      <c r="F134" s="130"/>
      <c r="G134" s="130"/>
      <c r="H134" s="134"/>
      <c r="I134" s="134"/>
      <c r="L134" s="155"/>
      <c r="M134" s="155"/>
    </row>
    <row r="135" spans="1:13" s="154" customFormat="1" ht="15" customHeight="1">
      <c r="A135" s="130"/>
      <c r="B135" s="130"/>
      <c r="C135" s="130"/>
      <c r="D135" s="130"/>
      <c r="E135" s="130"/>
      <c r="F135" s="130"/>
      <c r="G135" s="130"/>
      <c r="H135" s="134"/>
      <c r="I135" s="134"/>
      <c r="L135" s="155"/>
      <c r="M135" s="155"/>
    </row>
    <row r="136" spans="1:13" s="154" customFormat="1" ht="15" customHeight="1">
      <c r="A136" s="130"/>
      <c r="B136" s="130"/>
      <c r="C136" s="130"/>
      <c r="D136" s="130"/>
      <c r="E136" s="130"/>
      <c r="F136" s="130"/>
      <c r="G136" s="130"/>
      <c r="H136" s="134"/>
      <c r="I136" s="134"/>
      <c r="L136" s="155"/>
      <c r="M136" s="155"/>
    </row>
    <row r="137" spans="1:13" s="154" customFormat="1" ht="15" customHeight="1">
      <c r="A137" s="130"/>
      <c r="B137" s="130"/>
      <c r="C137" s="130"/>
      <c r="D137" s="130"/>
      <c r="E137" s="130"/>
      <c r="F137" s="130"/>
      <c r="G137" s="130"/>
      <c r="H137" s="134"/>
      <c r="I137" s="134"/>
      <c r="L137" s="155"/>
      <c r="M137" s="155"/>
    </row>
    <row r="138" spans="1:13" s="154" customFormat="1" ht="15" customHeight="1">
      <c r="A138" s="130"/>
      <c r="B138" s="130"/>
      <c r="C138" s="130"/>
      <c r="D138" s="130"/>
      <c r="E138" s="130"/>
      <c r="F138" s="130"/>
      <c r="G138" s="130"/>
      <c r="H138" s="134"/>
      <c r="I138" s="134"/>
      <c r="L138" s="155"/>
      <c r="M138" s="155"/>
    </row>
    <row r="139" spans="1:13" s="154" customFormat="1" ht="15" customHeight="1">
      <c r="A139" s="130"/>
      <c r="B139" s="130"/>
      <c r="C139" s="130"/>
      <c r="D139" s="130"/>
      <c r="E139" s="130"/>
      <c r="F139" s="130"/>
      <c r="G139" s="130"/>
      <c r="H139" s="134"/>
      <c r="I139" s="134"/>
      <c r="L139" s="155"/>
      <c r="M139" s="155"/>
    </row>
    <row r="140" spans="1:13" s="154" customFormat="1" ht="15" customHeight="1">
      <c r="A140" s="130"/>
      <c r="B140" s="130"/>
      <c r="C140" s="130"/>
      <c r="D140" s="130"/>
      <c r="E140" s="130"/>
      <c r="F140" s="130"/>
      <c r="G140" s="130"/>
      <c r="H140" s="134"/>
      <c r="I140" s="134"/>
      <c r="L140" s="155"/>
      <c r="M140" s="155"/>
    </row>
    <row r="141" spans="1:13" s="154" customFormat="1" ht="15" customHeight="1">
      <c r="A141" s="130"/>
      <c r="B141" s="130"/>
      <c r="C141" s="130"/>
      <c r="D141" s="130"/>
      <c r="E141" s="130"/>
      <c r="F141" s="130"/>
      <c r="G141" s="130"/>
      <c r="H141" s="134"/>
      <c r="I141" s="134"/>
      <c r="L141" s="155"/>
      <c r="M141" s="155"/>
    </row>
    <row r="142" spans="1:13" s="154" customFormat="1" ht="15" customHeight="1">
      <c r="A142" s="130"/>
      <c r="B142" s="130"/>
      <c r="C142" s="130"/>
      <c r="D142" s="130"/>
      <c r="E142" s="130"/>
      <c r="F142" s="130"/>
      <c r="G142" s="130"/>
      <c r="H142" s="134"/>
      <c r="I142" s="134"/>
      <c r="L142" s="155"/>
      <c r="M142" s="155"/>
    </row>
    <row r="143" spans="1:13" s="154" customFormat="1" ht="15" customHeight="1">
      <c r="A143" s="130"/>
      <c r="B143" s="130"/>
      <c r="C143" s="130"/>
      <c r="D143" s="130"/>
      <c r="E143" s="130"/>
      <c r="F143" s="130"/>
      <c r="G143" s="130"/>
      <c r="H143" s="134"/>
      <c r="I143" s="134"/>
      <c r="L143" s="155"/>
      <c r="M143" s="155"/>
    </row>
    <row r="144" spans="1:13" s="154" customFormat="1" ht="15" customHeight="1">
      <c r="A144" s="130"/>
      <c r="B144" s="130"/>
      <c r="C144" s="130"/>
      <c r="D144" s="130"/>
      <c r="E144" s="130"/>
      <c r="F144" s="130"/>
      <c r="G144" s="130"/>
      <c r="H144" s="134"/>
      <c r="I144" s="134"/>
      <c r="L144" s="155"/>
      <c r="M144" s="155"/>
    </row>
    <row r="145" spans="1:13" s="154" customFormat="1" ht="15" customHeight="1">
      <c r="A145" s="130"/>
      <c r="B145" s="130"/>
      <c r="C145" s="130"/>
      <c r="D145" s="130"/>
      <c r="E145" s="130"/>
      <c r="F145" s="130"/>
      <c r="G145" s="130"/>
      <c r="H145" s="134"/>
      <c r="I145" s="134"/>
      <c r="L145" s="155"/>
      <c r="M145" s="155"/>
    </row>
    <row r="146" spans="1:13" s="154" customFormat="1" ht="15" customHeight="1">
      <c r="A146" s="130"/>
      <c r="B146" s="130"/>
      <c r="C146" s="130"/>
      <c r="D146" s="130"/>
      <c r="E146" s="130"/>
      <c r="F146" s="130"/>
      <c r="G146" s="130"/>
      <c r="H146" s="134"/>
      <c r="I146" s="134"/>
      <c r="L146" s="155"/>
      <c r="M146" s="155"/>
    </row>
    <row r="147" spans="1:13" s="154" customFormat="1" ht="15" customHeight="1">
      <c r="A147" s="130"/>
      <c r="B147" s="130"/>
      <c r="C147" s="130"/>
      <c r="D147" s="130"/>
      <c r="E147" s="130"/>
      <c r="F147" s="130"/>
      <c r="G147" s="130"/>
      <c r="H147" s="134"/>
      <c r="I147" s="134"/>
      <c r="L147" s="155"/>
      <c r="M147" s="155"/>
    </row>
    <row r="148" spans="1:13" s="154" customFormat="1" ht="15" customHeight="1">
      <c r="A148" s="130"/>
      <c r="B148" s="130"/>
      <c r="C148" s="130"/>
      <c r="D148" s="130"/>
      <c r="E148" s="130"/>
      <c r="F148" s="130"/>
      <c r="G148" s="130"/>
      <c r="H148" s="134"/>
      <c r="I148" s="134"/>
      <c r="L148" s="155"/>
      <c r="M148" s="155"/>
    </row>
    <row r="149" spans="1:13" s="154" customFormat="1" ht="15" customHeight="1">
      <c r="A149" s="130"/>
      <c r="B149" s="130"/>
      <c r="C149" s="130"/>
      <c r="D149" s="130"/>
      <c r="E149" s="130"/>
      <c r="F149" s="130"/>
      <c r="G149" s="130"/>
      <c r="H149" s="134"/>
      <c r="I149" s="134"/>
      <c r="L149" s="155"/>
      <c r="M149" s="155"/>
    </row>
    <row r="150" spans="1:13" s="154" customFormat="1" ht="15" customHeight="1">
      <c r="A150" s="130"/>
      <c r="B150" s="130"/>
      <c r="C150" s="130"/>
      <c r="D150" s="130"/>
      <c r="E150" s="130"/>
      <c r="F150" s="130"/>
      <c r="G150" s="130"/>
      <c r="H150" s="134"/>
      <c r="I150" s="134"/>
      <c r="L150" s="155"/>
      <c r="M150" s="155"/>
    </row>
    <row r="151" spans="1:13" s="154" customFormat="1" ht="15" customHeight="1">
      <c r="A151" s="130"/>
      <c r="B151" s="130"/>
      <c r="C151" s="130"/>
      <c r="D151" s="130"/>
      <c r="E151" s="130"/>
      <c r="F151" s="130"/>
      <c r="G151" s="130"/>
      <c r="H151" s="134"/>
      <c r="I151" s="134"/>
      <c r="L151" s="155"/>
      <c r="M151" s="155"/>
    </row>
    <row r="152" spans="1:13" s="154" customFormat="1" ht="15" customHeight="1">
      <c r="A152" s="130"/>
      <c r="B152" s="130"/>
      <c r="C152" s="130"/>
      <c r="D152" s="130"/>
      <c r="E152" s="130"/>
      <c r="F152" s="130"/>
      <c r="G152" s="130"/>
      <c r="H152" s="134"/>
      <c r="I152" s="134"/>
      <c r="L152" s="155"/>
      <c r="M152" s="155"/>
    </row>
  </sheetData>
  <autoFilter ref="A1:H1" xr:uid="{00000000-0009-0000-0000-000004000000}">
    <sortState xmlns:xlrd2="http://schemas.microsoft.com/office/spreadsheetml/2017/richdata2" ref="A2:H91">
      <sortCondition ref="B1"/>
    </sortState>
  </autoFilter>
  <mergeCells count="13">
    <mergeCell ref="J37:K37"/>
    <mergeCell ref="J17:N17"/>
    <mergeCell ref="J22:N22"/>
    <mergeCell ref="J27:K27"/>
    <mergeCell ref="J28:N28"/>
    <mergeCell ref="J30:N30"/>
    <mergeCell ref="J34:N34"/>
    <mergeCell ref="J15:N15"/>
    <mergeCell ref="J1:K1"/>
    <mergeCell ref="J2:K2"/>
    <mergeCell ref="J4:N4"/>
    <mergeCell ref="J8:N8"/>
    <mergeCell ref="J14:K14"/>
  </mergeCells>
  <pageMargins left="0.75" right="0.75" top="1" bottom="1" header="0.5" footer="0.5"/>
  <pageSetup paperSize="9" orientation="portrait" horizontalDpi="4294967293" verticalDpi="4294967293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4B1B4-0D99-4CA4-BA53-5F889C6B8C46}">
  <sheetPr codeName="Sheet10">
    <tabColor theme="9" tint="-0.249977111117893"/>
  </sheetPr>
  <dimension ref="A1:Z89"/>
  <sheetViews>
    <sheetView topLeftCell="D1" zoomScale="118" zoomScaleNormal="73" workbookViewId="0">
      <selection activeCell="S3" sqref="S3"/>
    </sheetView>
  </sheetViews>
  <sheetFormatPr defaultColWidth="14.7109375" defaultRowHeight="16.5"/>
  <cols>
    <col min="1" max="1" width="5.140625" style="45" bestFit="1" customWidth="1"/>
    <col min="2" max="2" width="11.85546875" style="23" bestFit="1" customWidth="1"/>
    <col min="3" max="3" width="8.7109375" style="29" bestFit="1" customWidth="1"/>
    <col min="4" max="4" width="13.28515625" style="25" bestFit="1" customWidth="1"/>
    <col min="5" max="5" width="12.5703125" style="45" bestFit="1" customWidth="1"/>
    <col min="6" max="6" width="6.28515625" style="24" bestFit="1" customWidth="1"/>
    <col min="7" max="7" width="8.85546875" style="27" bestFit="1" customWidth="1"/>
    <col min="8" max="8" width="14.140625" style="27" bestFit="1" customWidth="1"/>
    <col min="9" max="9" width="10.140625" style="24" bestFit="1" customWidth="1"/>
    <col min="10" max="10" width="2" style="30" customWidth="1"/>
    <col min="11" max="11" width="14.7109375" style="1" customWidth="1"/>
    <col min="12" max="12" width="12.5703125" style="1" bestFit="1" customWidth="1"/>
    <col min="13" max="13" width="6" style="1" bestFit="1" customWidth="1"/>
    <col min="14" max="14" width="8.7109375" style="1" bestFit="1" customWidth="1"/>
    <col min="15" max="15" width="2" style="1" customWidth="1"/>
    <col min="16" max="16" width="4.85546875" style="1" customWidth="1"/>
    <col min="17" max="17" width="10.140625" style="1" bestFit="1" customWidth="1"/>
    <col min="18" max="18" width="12.28515625" style="1" bestFit="1" customWidth="1"/>
    <col min="19" max="256" width="14.7109375" style="1"/>
    <col min="257" max="257" width="5.140625" style="1" bestFit="1" customWidth="1"/>
    <col min="258" max="258" width="10.7109375" style="1" bestFit="1" customWidth="1"/>
    <col min="259" max="259" width="8.7109375" style="1" bestFit="1" customWidth="1"/>
    <col min="260" max="260" width="13.28515625" style="1" bestFit="1" customWidth="1"/>
    <col min="261" max="261" width="12.5703125" style="1" bestFit="1" customWidth="1"/>
    <col min="262" max="262" width="6.28515625" style="1" bestFit="1" customWidth="1"/>
    <col min="263" max="263" width="8.85546875" style="1" bestFit="1" customWidth="1"/>
    <col min="264" max="264" width="14.140625" style="1" bestFit="1" customWidth="1"/>
    <col min="265" max="265" width="10.140625" style="1" bestFit="1" customWidth="1"/>
    <col min="266" max="266" width="15.140625" style="1" customWidth="1"/>
    <col min="267" max="267" width="14.7109375" style="1" customWidth="1"/>
    <col min="268" max="268" width="12.5703125" style="1" bestFit="1" customWidth="1"/>
    <col min="269" max="269" width="6" style="1" bestFit="1" customWidth="1"/>
    <col min="270" max="270" width="8.7109375" style="1" bestFit="1" customWidth="1"/>
    <col min="271" max="512" width="14.7109375" style="1"/>
    <col min="513" max="513" width="5.140625" style="1" bestFit="1" customWidth="1"/>
    <col min="514" max="514" width="10.7109375" style="1" bestFit="1" customWidth="1"/>
    <col min="515" max="515" width="8.7109375" style="1" bestFit="1" customWidth="1"/>
    <col min="516" max="516" width="13.28515625" style="1" bestFit="1" customWidth="1"/>
    <col min="517" max="517" width="12.5703125" style="1" bestFit="1" customWidth="1"/>
    <col min="518" max="518" width="6.28515625" style="1" bestFit="1" customWidth="1"/>
    <col min="519" max="519" width="8.85546875" style="1" bestFit="1" customWidth="1"/>
    <col min="520" max="520" width="14.140625" style="1" bestFit="1" customWidth="1"/>
    <col min="521" max="521" width="10.140625" style="1" bestFit="1" customWidth="1"/>
    <col min="522" max="522" width="15.140625" style="1" customWidth="1"/>
    <col min="523" max="523" width="14.7109375" style="1" customWidth="1"/>
    <col min="524" max="524" width="12.5703125" style="1" bestFit="1" customWidth="1"/>
    <col min="525" max="525" width="6" style="1" bestFit="1" customWidth="1"/>
    <col min="526" max="526" width="8.7109375" style="1" bestFit="1" customWidth="1"/>
    <col min="527" max="768" width="14.7109375" style="1"/>
    <col min="769" max="769" width="5.140625" style="1" bestFit="1" customWidth="1"/>
    <col min="770" max="770" width="10.7109375" style="1" bestFit="1" customWidth="1"/>
    <col min="771" max="771" width="8.7109375" style="1" bestFit="1" customWidth="1"/>
    <col min="772" max="772" width="13.28515625" style="1" bestFit="1" customWidth="1"/>
    <col min="773" max="773" width="12.5703125" style="1" bestFit="1" customWidth="1"/>
    <col min="774" max="774" width="6.28515625" style="1" bestFit="1" customWidth="1"/>
    <col min="775" max="775" width="8.85546875" style="1" bestFit="1" customWidth="1"/>
    <col min="776" max="776" width="14.140625" style="1" bestFit="1" customWidth="1"/>
    <col min="777" max="777" width="10.140625" style="1" bestFit="1" customWidth="1"/>
    <col min="778" max="778" width="15.140625" style="1" customWidth="1"/>
    <col min="779" max="779" width="14.7109375" style="1" customWidth="1"/>
    <col min="780" max="780" width="12.5703125" style="1" bestFit="1" customWidth="1"/>
    <col min="781" max="781" width="6" style="1" bestFit="1" customWidth="1"/>
    <col min="782" max="782" width="8.7109375" style="1" bestFit="1" customWidth="1"/>
    <col min="783" max="1024" width="14.7109375" style="1"/>
    <col min="1025" max="1025" width="5.140625" style="1" bestFit="1" customWidth="1"/>
    <col min="1026" max="1026" width="10.7109375" style="1" bestFit="1" customWidth="1"/>
    <col min="1027" max="1027" width="8.7109375" style="1" bestFit="1" customWidth="1"/>
    <col min="1028" max="1028" width="13.28515625" style="1" bestFit="1" customWidth="1"/>
    <col min="1029" max="1029" width="12.5703125" style="1" bestFit="1" customWidth="1"/>
    <col min="1030" max="1030" width="6.28515625" style="1" bestFit="1" customWidth="1"/>
    <col min="1031" max="1031" width="8.85546875" style="1" bestFit="1" customWidth="1"/>
    <col min="1032" max="1032" width="14.140625" style="1" bestFit="1" customWidth="1"/>
    <col min="1033" max="1033" width="10.140625" style="1" bestFit="1" customWidth="1"/>
    <col min="1034" max="1034" width="15.140625" style="1" customWidth="1"/>
    <col min="1035" max="1035" width="14.7109375" style="1" customWidth="1"/>
    <col min="1036" max="1036" width="12.5703125" style="1" bestFit="1" customWidth="1"/>
    <col min="1037" max="1037" width="6" style="1" bestFit="1" customWidth="1"/>
    <col min="1038" max="1038" width="8.7109375" style="1" bestFit="1" customWidth="1"/>
    <col min="1039" max="1280" width="14.7109375" style="1"/>
    <col min="1281" max="1281" width="5.140625" style="1" bestFit="1" customWidth="1"/>
    <col min="1282" max="1282" width="10.7109375" style="1" bestFit="1" customWidth="1"/>
    <col min="1283" max="1283" width="8.7109375" style="1" bestFit="1" customWidth="1"/>
    <col min="1284" max="1284" width="13.28515625" style="1" bestFit="1" customWidth="1"/>
    <col min="1285" max="1285" width="12.5703125" style="1" bestFit="1" customWidth="1"/>
    <col min="1286" max="1286" width="6.28515625" style="1" bestFit="1" customWidth="1"/>
    <col min="1287" max="1287" width="8.85546875" style="1" bestFit="1" customWidth="1"/>
    <col min="1288" max="1288" width="14.140625" style="1" bestFit="1" customWidth="1"/>
    <col min="1289" max="1289" width="10.140625" style="1" bestFit="1" customWidth="1"/>
    <col min="1290" max="1290" width="15.140625" style="1" customWidth="1"/>
    <col min="1291" max="1291" width="14.7109375" style="1" customWidth="1"/>
    <col min="1292" max="1292" width="12.5703125" style="1" bestFit="1" customWidth="1"/>
    <col min="1293" max="1293" width="6" style="1" bestFit="1" customWidth="1"/>
    <col min="1294" max="1294" width="8.7109375" style="1" bestFit="1" customWidth="1"/>
    <col min="1295" max="1536" width="14.7109375" style="1"/>
    <col min="1537" max="1537" width="5.140625" style="1" bestFit="1" customWidth="1"/>
    <col min="1538" max="1538" width="10.7109375" style="1" bestFit="1" customWidth="1"/>
    <col min="1539" max="1539" width="8.7109375" style="1" bestFit="1" customWidth="1"/>
    <col min="1540" max="1540" width="13.28515625" style="1" bestFit="1" customWidth="1"/>
    <col min="1541" max="1541" width="12.5703125" style="1" bestFit="1" customWidth="1"/>
    <col min="1542" max="1542" width="6.28515625" style="1" bestFit="1" customWidth="1"/>
    <col min="1543" max="1543" width="8.85546875" style="1" bestFit="1" customWidth="1"/>
    <col min="1544" max="1544" width="14.140625" style="1" bestFit="1" customWidth="1"/>
    <col min="1545" max="1545" width="10.140625" style="1" bestFit="1" customWidth="1"/>
    <col min="1546" max="1546" width="15.140625" style="1" customWidth="1"/>
    <col min="1547" max="1547" width="14.7109375" style="1" customWidth="1"/>
    <col min="1548" max="1548" width="12.5703125" style="1" bestFit="1" customWidth="1"/>
    <col min="1549" max="1549" width="6" style="1" bestFit="1" customWidth="1"/>
    <col min="1550" max="1550" width="8.7109375" style="1" bestFit="1" customWidth="1"/>
    <col min="1551" max="1792" width="14.7109375" style="1"/>
    <col min="1793" max="1793" width="5.140625" style="1" bestFit="1" customWidth="1"/>
    <col min="1794" max="1794" width="10.7109375" style="1" bestFit="1" customWidth="1"/>
    <col min="1795" max="1795" width="8.7109375" style="1" bestFit="1" customWidth="1"/>
    <col min="1796" max="1796" width="13.28515625" style="1" bestFit="1" customWidth="1"/>
    <col min="1797" max="1797" width="12.5703125" style="1" bestFit="1" customWidth="1"/>
    <col min="1798" max="1798" width="6.28515625" style="1" bestFit="1" customWidth="1"/>
    <col min="1799" max="1799" width="8.85546875" style="1" bestFit="1" customWidth="1"/>
    <col min="1800" max="1800" width="14.140625" style="1" bestFit="1" customWidth="1"/>
    <col min="1801" max="1801" width="10.140625" style="1" bestFit="1" customWidth="1"/>
    <col min="1802" max="1802" width="15.140625" style="1" customWidth="1"/>
    <col min="1803" max="1803" width="14.7109375" style="1" customWidth="1"/>
    <col min="1804" max="1804" width="12.5703125" style="1" bestFit="1" customWidth="1"/>
    <col min="1805" max="1805" width="6" style="1" bestFit="1" customWidth="1"/>
    <col min="1806" max="1806" width="8.7109375" style="1" bestFit="1" customWidth="1"/>
    <col min="1807" max="2048" width="14.7109375" style="1"/>
    <col min="2049" max="2049" width="5.140625" style="1" bestFit="1" customWidth="1"/>
    <col min="2050" max="2050" width="10.7109375" style="1" bestFit="1" customWidth="1"/>
    <col min="2051" max="2051" width="8.7109375" style="1" bestFit="1" customWidth="1"/>
    <col min="2052" max="2052" width="13.28515625" style="1" bestFit="1" customWidth="1"/>
    <col min="2053" max="2053" width="12.5703125" style="1" bestFit="1" customWidth="1"/>
    <col min="2054" max="2054" width="6.28515625" style="1" bestFit="1" customWidth="1"/>
    <col min="2055" max="2055" width="8.85546875" style="1" bestFit="1" customWidth="1"/>
    <col min="2056" max="2056" width="14.140625" style="1" bestFit="1" customWidth="1"/>
    <col min="2057" max="2057" width="10.140625" style="1" bestFit="1" customWidth="1"/>
    <col min="2058" max="2058" width="15.140625" style="1" customWidth="1"/>
    <col min="2059" max="2059" width="14.7109375" style="1" customWidth="1"/>
    <col min="2060" max="2060" width="12.5703125" style="1" bestFit="1" customWidth="1"/>
    <col min="2061" max="2061" width="6" style="1" bestFit="1" customWidth="1"/>
    <col min="2062" max="2062" width="8.7109375" style="1" bestFit="1" customWidth="1"/>
    <col min="2063" max="2304" width="14.7109375" style="1"/>
    <col min="2305" max="2305" width="5.140625" style="1" bestFit="1" customWidth="1"/>
    <col min="2306" max="2306" width="10.7109375" style="1" bestFit="1" customWidth="1"/>
    <col min="2307" max="2307" width="8.7109375" style="1" bestFit="1" customWidth="1"/>
    <col min="2308" max="2308" width="13.28515625" style="1" bestFit="1" customWidth="1"/>
    <col min="2309" max="2309" width="12.5703125" style="1" bestFit="1" customWidth="1"/>
    <col min="2310" max="2310" width="6.28515625" style="1" bestFit="1" customWidth="1"/>
    <col min="2311" max="2311" width="8.85546875" style="1" bestFit="1" customWidth="1"/>
    <col min="2312" max="2312" width="14.140625" style="1" bestFit="1" customWidth="1"/>
    <col min="2313" max="2313" width="10.140625" style="1" bestFit="1" customWidth="1"/>
    <col min="2314" max="2314" width="15.140625" style="1" customWidth="1"/>
    <col min="2315" max="2315" width="14.7109375" style="1" customWidth="1"/>
    <col min="2316" max="2316" width="12.5703125" style="1" bestFit="1" customWidth="1"/>
    <col min="2317" max="2317" width="6" style="1" bestFit="1" customWidth="1"/>
    <col min="2318" max="2318" width="8.7109375" style="1" bestFit="1" customWidth="1"/>
    <col min="2319" max="2560" width="14.7109375" style="1"/>
    <col min="2561" max="2561" width="5.140625" style="1" bestFit="1" customWidth="1"/>
    <col min="2562" max="2562" width="10.7109375" style="1" bestFit="1" customWidth="1"/>
    <col min="2563" max="2563" width="8.7109375" style="1" bestFit="1" customWidth="1"/>
    <col min="2564" max="2564" width="13.28515625" style="1" bestFit="1" customWidth="1"/>
    <col min="2565" max="2565" width="12.5703125" style="1" bestFit="1" customWidth="1"/>
    <col min="2566" max="2566" width="6.28515625" style="1" bestFit="1" customWidth="1"/>
    <col min="2567" max="2567" width="8.85546875" style="1" bestFit="1" customWidth="1"/>
    <col min="2568" max="2568" width="14.140625" style="1" bestFit="1" customWidth="1"/>
    <col min="2569" max="2569" width="10.140625" style="1" bestFit="1" customWidth="1"/>
    <col min="2570" max="2570" width="15.140625" style="1" customWidth="1"/>
    <col min="2571" max="2571" width="14.7109375" style="1" customWidth="1"/>
    <col min="2572" max="2572" width="12.5703125" style="1" bestFit="1" customWidth="1"/>
    <col min="2573" max="2573" width="6" style="1" bestFit="1" customWidth="1"/>
    <col min="2574" max="2574" width="8.7109375" style="1" bestFit="1" customWidth="1"/>
    <col min="2575" max="2816" width="14.7109375" style="1"/>
    <col min="2817" max="2817" width="5.140625" style="1" bestFit="1" customWidth="1"/>
    <col min="2818" max="2818" width="10.7109375" style="1" bestFit="1" customWidth="1"/>
    <col min="2819" max="2819" width="8.7109375" style="1" bestFit="1" customWidth="1"/>
    <col min="2820" max="2820" width="13.28515625" style="1" bestFit="1" customWidth="1"/>
    <col min="2821" max="2821" width="12.5703125" style="1" bestFit="1" customWidth="1"/>
    <col min="2822" max="2822" width="6.28515625" style="1" bestFit="1" customWidth="1"/>
    <col min="2823" max="2823" width="8.85546875" style="1" bestFit="1" customWidth="1"/>
    <col min="2824" max="2824" width="14.140625" style="1" bestFit="1" customWidth="1"/>
    <col min="2825" max="2825" width="10.140625" style="1" bestFit="1" customWidth="1"/>
    <col min="2826" max="2826" width="15.140625" style="1" customWidth="1"/>
    <col min="2827" max="2827" width="14.7109375" style="1" customWidth="1"/>
    <col min="2828" max="2828" width="12.5703125" style="1" bestFit="1" customWidth="1"/>
    <col min="2829" max="2829" width="6" style="1" bestFit="1" customWidth="1"/>
    <col min="2830" max="2830" width="8.7109375" style="1" bestFit="1" customWidth="1"/>
    <col min="2831" max="3072" width="14.7109375" style="1"/>
    <col min="3073" max="3073" width="5.140625" style="1" bestFit="1" customWidth="1"/>
    <col min="3074" max="3074" width="10.7109375" style="1" bestFit="1" customWidth="1"/>
    <col min="3075" max="3075" width="8.7109375" style="1" bestFit="1" customWidth="1"/>
    <col min="3076" max="3076" width="13.28515625" style="1" bestFit="1" customWidth="1"/>
    <col min="3077" max="3077" width="12.5703125" style="1" bestFit="1" customWidth="1"/>
    <col min="3078" max="3078" width="6.28515625" style="1" bestFit="1" customWidth="1"/>
    <col min="3079" max="3079" width="8.85546875" style="1" bestFit="1" customWidth="1"/>
    <col min="3080" max="3080" width="14.140625" style="1" bestFit="1" customWidth="1"/>
    <col min="3081" max="3081" width="10.140625" style="1" bestFit="1" customWidth="1"/>
    <col min="3082" max="3082" width="15.140625" style="1" customWidth="1"/>
    <col min="3083" max="3083" width="14.7109375" style="1" customWidth="1"/>
    <col min="3084" max="3084" width="12.5703125" style="1" bestFit="1" customWidth="1"/>
    <col min="3085" max="3085" width="6" style="1" bestFit="1" customWidth="1"/>
    <col min="3086" max="3086" width="8.7109375" style="1" bestFit="1" customWidth="1"/>
    <col min="3087" max="3328" width="14.7109375" style="1"/>
    <col min="3329" max="3329" width="5.140625" style="1" bestFit="1" customWidth="1"/>
    <col min="3330" max="3330" width="10.7109375" style="1" bestFit="1" customWidth="1"/>
    <col min="3331" max="3331" width="8.7109375" style="1" bestFit="1" customWidth="1"/>
    <col min="3332" max="3332" width="13.28515625" style="1" bestFit="1" customWidth="1"/>
    <col min="3333" max="3333" width="12.5703125" style="1" bestFit="1" customWidth="1"/>
    <col min="3334" max="3334" width="6.28515625" style="1" bestFit="1" customWidth="1"/>
    <col min="3335" max="3335" width="8.85546875" style="1" bestFit="1" customWidth="1"/>
    <col min="3336" max="3336" width="14.140625" style="1" bestFit="1" customWidth="1"/>
    <col min="3337" max="3337" width="10.140625" style="1" bestFit="1" customWidth="1"/>
    <col min="3338" max="3338" width="15.140625" style="1" customWidth="1"/>
    <col min="3339" max="3339" width="14.7109375" style="1" customWidth="1"/>
    <col min="3340" max="3340" width="12.5703125" style="1" bestFit="1" customWidth="1"/>
    <col min="3341" max="3341" width="6" style="1" bestFit="1" customWidth="1"/>
    <col min="3342" max="3342" width="8.7109375" style="1" bestFit="1" customWidth="1"/>
    <col min="3343" max="3584" width="14.7109375" style="1"/>
    <col min="3585" max="3585" width="5.140625" style="1" bestFit="1" customWidth="1"/>
    <col min="3586" max="3586" width="10.7109375" style="1" bestFit="1" customWidth="1"/>
    <col min="3587" max="3587" width="8.7109375" style="1" bestFit="1" customWidth="1"/>
    <col min="3588" max="3588" width="13.28515625" style="1" bestFit="1" customWidth="1"/>
    <col min="3589" max="3589" width="12.5703125" style="1" bestFit="1" customWidth="1"/>
    <col min="3590" max="3590" width="6.28515625" style="1" bestFit="1" customWidth="1"/>
    <col min="3591" max="3591" width="8.85546875" style="1" bestFit="1" customWidth="1"/>
    <col min="3592" max="3592" width="14.140625" style="1" bestFit="1" customWidth="1"/>
    <col min="3593" max="3593" width="10.140625" style="1" bestFit="1" customWidth="1"/>
    <col min="3594" max="3594" width="15.140625" style="1" customWidth="1"/>
    <col min="3595" max="3595" width="14.7109375" style="1" customWidth="1"/>
    <col min="3596" max="3596" width="12.5703125" style="1" bestFit="1" customWidth="1"/>
    <col min="3597" max="3597" width="6" style="1" bestFit="1" customWidth="1"/>
    <col min="3598" max="3598" width="8.7109375" style="1" bestFit="1" customWidth="1"/>
    <col min="3599" max="3840" width="14.7109375" style="1"/>
    <col min="3841" max="3841" width="5.140625" style="1" bestFit="1" customWidth="1"/>
    <col min="3842" max="3842" width="10.7109375" style="1" bestFit="1" customWidth="1"/>
    <col min="3843" max="3843" width="8.7109375" style="1" bestFit="1" customWidth="1"/>
    <col min="3844" max="3844" width="13.28515625" style="1" bestFit="1" customWidth="1"/>
    <col min="3845" max="3845" width="12.5703125" style="1" bestFit="1" customWidth="1"/>
    <col min="3846" max="3846" width="6.28515625" style="1" bestFit="1" customWidth="1"/>
    <col min="3847" max="3847" width="8.85546875" style="1" bestFit="1" customWidth="1"/>
    <col min="3848" max="3848" width="14.140625" style="1" bestFit="1" customWidth="1"/>
    <col min="3849" max="3849" width="10.140625" style="1" bestFit="1" customWidth="1"/>
    <col min="3850" max="3850" width="15.140625" style="1" customWidth="1"/>
    <col min="3851" max="3851" width="14.7109375" style="1" customWidth="1"/>
    <col min="3852" max="3852" width="12.5703125" style="1" bestFit="1" customWidth="1"/>
    <col min="3853" max="3853" width="6" style="1" bestFit="1" customWidth="1"/>
    <col min="3854" max="3854" width="8.7109375" style="1" bestFit="1" customWidth="1"/>
    <col min="3855" max="4096" width="14.7109375" style="1"/>
    <col min="4097" max="4097" width="5.140625" style="1" bestFit="1" customWidth="1"/>
    <col min="4098" max="4098" width="10.7109375" style="1" bestFit="1" customWidth="1"/>
    <col min="4099" max="4099" width="8.7109375" style="1" bestFit="1" customWidth="1"/>
    <col min="4100" max="4100" width="13.28515625" style="1" bestFit="1" customWidth="1"/>
    <col min="4101" max="4101" width="12.5703125" style="1" bestFit="1" customWidth="1"/>
    <col min="4102" max="4102" width="6.28515625" style="1" bestFit="1" customWidth="1"/>
    <col min="4103" max="4103" width="8.85546875" style="1" bestFit="1" customWidth="1"/>
    <col min="4104" max="4104" width="14.140625" style="1" bestFit="1" customWidth="1"/>
    <col min="4105" max="4105" width="10.140625" style="1" bestFit="1" customWidth="1"/>
    <col min="4106" max="4106" width="15.140625" style="1" customWidth="1"/>
    <col min="4107" max="4107" width="14.7109375" style="1" customWidth="1"/>
    <col min="4108" max="4108" width="12.5703125" style="1" bestFit="1" customWidth="1"/>
    <col min="4109" max="4109" width="6" style="1" bestFit="1" customWidth="1"/>
    <col min="4110" max="4110" width="8.7109375" style="1" bestFit="1" customWidth="1"/>
    <col min="4111" max="4352" width="14.7109375" style="1"/>
    <col min="4353" max="4353" width="5.140625" style="1" bestFit="1" customWidth="1"/>
    <col min="4354" max="4354" width="10.7109375" style="1" bestFit="1" customWidth="1"/>
    <col min="4355" max="4355" width="8.7109375" style="1" bestFit="1" customWidth="1"/>
    <col min="4356" max="4356" width="13.28515625" style="1" bestFit="1" customWidth="1"/>
    <col min="4357" max="4357" width="12.5703125" style="1" bestFit="1" customWidth="1"/>
    <col min="4358" max="4358" width="6.28515625" style="1" bestFit="1" customWidth="1"/>
    <col min="4359" max="4359" width="8.85546875" style="1" bestFit="1" customWidth="1"/>
    <col min="4360" max="4360" width="14.140625" style="1" bestFit="1" customWidth="1"/>
    <col min="4361" max="4361" width="10.140625" style="1" bestFit="1" customWidth="1"/>
    <col min="4362" max="4362" width="15.140625" style="1" customWidth="1"/>
    <col min="4363" max="4363" width="14.7109375" style="1" customWidth="1"/>
    <col min="4364" max="4364" width="12.5703125" style="1" bestFit="1" customWidth="1"/>
    <col min="4365" max="4365" width="6" style="1" bestFit="1" customWidth="1"/>
    <col min="4366" max="4366" width="8.7109375" style="1" bestFit="1" customWidth="1"/>
    <col min="4367" max="4608" width="14.7109375" style="1"/>
    <col min="4609" max="4609" width="5.140625" style="1" bestFit="1" customWidth="1"/>
    <col min="4610" max="4610" width="10.7109375" style="1" bestFit="1" customWidth="1"/>
    <col min="4611" max="4611" width="8.7109375" style="1" bestFit="1" customWidth="1"/>
    <col min="4612" max="4612" width="13.28515625" style="1" bestFit="1" customWidth="1"/>
    <col min="4613" max="4613" width="12.5703125" style="1" bestFit="1" customWidth="1"/>
    <col min="4614" max="4614" width="6.28515625" style="1" bestFit="1" customWidth="1"/>
    <col min="4615" max="4615" width="8.85546875" style="1" bestFit="1" customWidth="1"/>
    <col min="4616" max="4616" width="14.140625" style="1" bestFit="1" customWidth="1"/>
    <col min="4617" max="4617" width="10.140625" style="1" bestFit="1" customWidth="1"/>
    <col min="4618" max="4618" width="15.140625" style="1" customWidth="1"/>
    <col min="4619" max="4619" width="14.7109375" style="1" customWidth="1"/>
    <col min="4620" max="4620" width="12.5703125" style="1" bestFit="1" customWidth="1"/>
    <col min="4621" max="4621" width="6" style="1" bestFit="1" customWidth="1"/>
    <col min="4622" max="4622" width="8.7109375" style="1" bestFit="1" customWidth="1"/>
    <col min="4623" max="4864" width="14.7109375" style="1"/>
    <col min="4865" max="4865" width="5.140625" style="1" bestFit="1" customWidth="1"/>
    <col min="4866" max="4866" width="10.7109375" style="1" bestFit="1" customWidth="1"/>
    <col min="4867" max="4867" width="8.7109375" style="1" bestFit="1" customWidth="1"/>
    <col min="4868" max="4868" width="13.28515625" style="1" bestFit="1" customWidth="1"/>
    <col min="4869" max="4869" width="12.5703125" style="1" bestFit="1" customWidth="1"/>
    <col min="4870" max="4870" width="6.28515625" style="1" bestFit="1" customWidth="1"/>
    <col min="4871" max="4871" width="8.85546875" style="1" bestFit="1" customWidth="1"/>
    <col min="4872" max="4872" width="14.140625" style="1" bestFit="1" customWidth="1"/>
    <col min="4873" max="4873" width="10.140625" style="1" bestFit="1" customWidth="1"/>
    <col min="4874" max="4874" width="15.140625" style="1" customWidth="1"/>
    <col min="4875" max="4875" width="14.7109375" style="1" customWidth="1"/>
    <col min="4876" max="4876" width="12.5703125" style="1" bestFit="1" customWidth="1"/>
    <col min="4877" max="4877" width="6" style="1" bestFit="1" customWidth="1"/>
    <col min="4878" max="4878" width="8.7109375" style="1" bestFit="1" customWidth="1"/>
    <col min="4879" max="5120" width="14.7109375" style="1"/>
    <col min="5121" max="5121" width="5.140625" style="1" bestFit="1" customWidth="1"/>
    <col min="5122" max="5122" width="10.7109375" style="1" bestFit="1" customWidth="1"/>
    <col min="5123" max="5123" width="8.7109375" style="1" bestFit="1" customWidth="1"/>
    <col min="5124" max="5124" width="13.28515625" style="1" bestFit="1" customWidth="1"/>
    <col min="5125" max="5125" width="12.5703125" style="1" bestFit="1" customWidth="1"/>
    <col min="5126" max="5126" width="6.28515625" style="1" bestFit="1" customWidth="1"/>
    <col min="5127" max="5127" width="8.85546875" style="1" bestFit="1" customWidth="1"/>
    <col min="5128" max="5128" width="14.140625" style="1" bestFit="1" customWidth="1"/>
    <col min="5129" max="5129" width="10.140625" style="1" bestFit="1" customWidth="1"/>
    <col min="5130" max="5130" width="15.140625" style="1" customWidth="1"/>
    <col min="5131" max="5131" width="14.7109375" style="1" customWidth="1"/>
    <col min="5132" max="5132" width="12.5703125" style="1" bestFit="1" customWidth="1"/>
    <col min="5133" max="5133" width="6" style="1" bestFit="1" customWidth="1"/>
    <col min="5134" max="5134" width="8.7109375" style="1" bestFit="1" customWidth="1"/>
    <col min="5135" max="5376" width="14.7109375" style="1"/>
    <col min="5377" max="5377" width="5.140625" style="1" bestFit="1" customWidth="1"/>
    <col min="5378" max="5378" width="10.7109375" style="1" bestFit="1" customWidth="1"/>
    <col min="5379" max="5379" width="8.7109375" style="1" bestFit="1" customWidth="1"/>
    <col min="5380" max="5380" width="13.28515625" style="1" bestFit="1" customWidth="1"/>
    <col min="5381" max="5381" width="12.5703125" style="1" bestFit="1" customWidth="1"/>
    <col min="5382" max="5382" width="6.28515625" style="1" bestFit="1" customWidth="1"/>
    <col min="5383" max="5383" width="8.85546875" style="1" bestFit="1" customWidth="1"/>
    <col min="5384" max="5384" width="14.140625" style="1" bestFit="1" customWidth="1"/>
    <col min="5385" max="5385" width="10.140625" style="1" bestFit="1" customWidth="1"/>
    <col min="5386" max="5386" width="15.140625" style="1" customWidth="1"/>
    <col min="5387" max="5387" width="14.7109375" style="1" customWidth="1"/>
    <col min="5388" max="5388" width="12.5703125" style="1" bestFit="1" customWidth="1"/>
    <col min="5389" max="5389" width="6" style="1" bestFit="1" customWidth="1"/>
    <col min="5390" max="5390" width="8.7109375" style="1" bestFit="1" customWidth="1"/>
    <col min="5391" max="5632" width="14.7109375" style="1"/>
    <col min="5633" max="5633" width="5.140625" style="1" bestFit="1" customWidth="1"/>
    <col min="5634" max="5634" width="10.7109375" style="1" bestFit="1" customWidth="1"/>
    <col min="5635" max="5635" width="8.7109375" style="1" bestFit="1" customWidth="1"/>
    <col min="5636" max="5636" width="13.28515625" style="1" bestFit="1" customWidth="1"/>
    <col min="5637" max="5637" width="12.5703125" style="1" bestFit="1" customWidth="1"/>
    <col min="5638" max="5638" width="6.28515625" style="1" bestFit="1" customWidth="1"/>
    <col min="5639" max="5639" width="8.85546875" style="1" bestFit="1" customWidth="1"/>
    <col min="5640" max="5640" width="14.140625" style="1" bestFit="1" customWidth="1"/>
    <col min="5641" max="5641" width="10.140625" style="1" bestFit="1" customWidth="1"/>
    <col min="5642" max="5642" width="15.140625" style="1" customWidth="1"/>
    <col min="5643" max="5643" width="14.7109375" style="1" customWidth="1"/>
    <col min="5644" max="5644" width="12.5703125" style="1" bestFit="1" customWidth="1"/>
    <col min="5645" max="5645" width="6" style="1" bestFit="1" customWidth="1"/>
    <col min="5646" max="5646" width="8.7109375" style="1" bestFit="1" customWidth="1"/>
    <col min="5647" max="5888" width="14.7109375" style="1"/>
    <col min="5889" max="5889" width="5.140625" style="1" bestFit="1" customWidth="1"/>
    <col min="5890" max="5890" width="10.7109375" style="1" bestFit="1" customWidth="1"/>
    <col min="5891" max="5891" width="8.7109375" style="1" bestFit="1" customWidth="1"/>
    <col min="5892" max="5892" width="13.28515625" style="1" bestFit="1" customWidth="1"/>
    <col min="5893" max="5893" width="12.5703125" style="1" bestFit="1" customWidth="1"/>
    <col min="5894" max="5894" width="6.28515625" style="1" bestFit="1" customWidth="1"/>
    <col min="5895" max="5895" width="8.85546875" style="1" bestFit="1" customWidth="1"/>
    <col min="5896" max="5896" width="14.140625" style="1" bestFit="1" customWidth="1"/>
    <col min="5897" max="5897" width="10.140625" style="1" bestFit="1" customWidth="1"/>
    <col min="5898" max="5898" width="15.140625" style="1" customWidth="1"/>
    <col min="5899" max="5899" width="14.7109375" style="1" customWidth="1"/>
    <col min="5900" max="5900" width="12.5703125" style="1" bestFit="1" customWidth="1"/>
    <col min="5901" max="5901" width="6" style="1" bestFit="1" customWidth="1"/>
    <col min="5902" max="5902" width="8.7109375" style="1" bestFit="1" customWidth="1"/>
    <col min="5903" max="6144" width="14.7109375" style="1"/>
    <col min="6145" max="6145" width="5.140625" style="1" bestFit="1" customWidth="1"/>
    <col min="6146" max="6146" width="10.7109375" style="1" bestFit="1" customWidth="1"/>
    <col min="6147" max="6147" width="8.7109375" style="1" bestFit="1" customWidth="1"/>
    <col min="6148" max="6148" width="13.28515625" style="1" bestFit="1" customWidth="1"/>
    <col min="6149" max="6149" width="12.5703125" style="1" bestFit="1" customWidth="1"/>
    <col min="6150" max="6150" width="6.28515625" style="1" bestFit="1" customWidth="1"/>
    <col min="6151" max="6151" width="8.85546875" style="1" bestFit="1" customWidth="1"/>
    <col min="6152" max="6152" width="14.140625" style="1" bestFit="1" customWidth="1"/>
    <col min="6153" max="6153" width="10.140625" style="1" bestFit="1" customWidth="1"/>
    <col min="6154" max="6154" width="15.140625" style="1" customWidth="1"/>
    <col min="6155" max="6155" width="14.7109375" style="1" customWidth="1"/>
    <col min="6156" max="6156" width="12.5703125" style="1" bestFit="1" customWidth="1"/>
    <col min="6157" max="6157" width="6" style="1" bestFit="1" customWidth="1"/>
    <col min="6158" max="6158" width="8.7109375" style="1" bestFit="1" customWidth="1"/>
    <col min="6159" max="6400" width="14.7109375" style="1"/>
    <col min="6401" max="6401" width="5.140625" style="1" bestFit="1" customWidth="1"/>
    <col min="6402" max="6402" width="10.7109375" style="1" bestFit="1" customWidth="1"/>
    <col min="6403" max="6403" width="8.7109375" style="1" bestFit="1" customWidth="1"/>
    <col min="6404" max="6404" width="13.28515625" style="1" bestFit="1" customWidth="1"/>
    <col min="6405" max="6405" width="12.5703125" style="1" bestFit="1" customWidth="1"/>
    <col min="6406" max="6406" width="6.28515625" style="1" bestFit="1" customWidth="1"/>
    <col min="6407" max="6407" width="8.85546875" style="1" bestFit="1" customWidth="1"/>
    <col min="6408" max="6408" width="14.140625" style="1" bestFit="1" customWidth="1"/>
    <col min="6409" max="6409" width="10.140625" style="1" bestFit="1" customWidth="1"/>
    <col min="6410" max="6410" width="15.140625" style="1" customWidth="1"/>
    <col min="6411" max="6411" width="14.7109375" style="1" customWidth="1"/>
    <col min="6412" max="6412" width="12.5703125" style="1" bestFit="1" customWidth="1"/>
    <col min="6413" max="6413" width="6" style="1" bestFit="1" customWidth="1"/>
    <col min="6414" max="6414" width="8.7109375" style="1" bestFit="1" customWidth="1"/>
    <col min="6415" max="6656" width="14.7109375" style="1"/>
    <col min="6657" max="6657" width="5.140625" style="1" bestFit="1" customWidth="1"/>
    <col min="6658" max="6658" width="10.7109375" style="1" bestFit="1" customWidth="1"/>
    <col min="6659" max="6659" width="8.7109375" style="1" bestFit="1" customWidth="1"/>
    <col min="6660" max="6660" width="13.28515625" style="1" bestFit="1" customWidth="1"/>
    <col min="6661" max="6661" width="12.5703125" style="1" bestFit="1" customWidth="1"/>
    <col min="6662" max="6662" width="6.28515625" style="1" bestFit="1" customWidth="1"/>
    <col min="6663" max="6663" width="8.85546875" style="1" bestFit="1" customWidth="1"/>
    <col min="6664" max="6664" width="14.140625" style="1" bestFit="1" customWidth="1"/>
    <col min="6665" max="6665" width="10.140625" style="1" bestFit="1" customWidth="1"/>
    <col min="6666" max="6666" width="15.140625" style="1" customWidth="1"/>
    <col min="6667" max="6667" width="14.7109375" style="1" customWidth="1"/>
    <col min="6668" max="6668" width="12.5703125" style="1" bestFit="1" customWidth="1"/>
    <col min="6669" max="6669" width="6" style="1" bestFit="1" customWidth="1"/>
    <col min="6670" max="6670" width="8.7109375" style="1" bestFit="1" customWidth="1"/>
    <col min="6671" max="6912" width="14.7109375" style="1"/>
    <col min="6913" max="6913" width="5.140625" style="1" bestFit="1" customWidth="1"/>
    <col min="6914" max="6914" width="10.7109375" style="1" bestFit="1" customWidth="1"/>
    <col min="6915" max="6915" width="8.7109375" style="1" bestFit="1" customWidth="1"/>
    <col min="6916" max="6916" width="13.28515625" style="1" bestFit="1" customWidth="1"/>
    <col min="6917" max="6917" width="12.5703125" style="1" bestFit="1" customWidth="1"/>
    <col min="6918" max="6918" width="6.28515625" style="1" bestFit="1" customWidth="1"/>
    <col min="6919" max="6919" width="8.85546875" style="1" bestFit="1" customWidth="1"/>
    <col min="6920" max="6920" width="14.140625" style="1" bestFit="1" customWidth="1"/>
    <col min="6921" max="6921" width="10.140625" style="1" bestFit="1" customWidth="1"/>
    <col min="6922" max="6922" width="15.140625" style="1" customWidth="1"/>
    <col min="6923" max="6923" width="14.7109375" style="1" customWidth="1"/>
    <col min="6924" max="6924" width="12.5703125" style="1" bestFit="1" customWidth="1"/>
    <col min="6925" max="6925" width="6" style="1" bestFit="1" customWidth="1"/>
    <col min="6926" max="6926" width="8.7109375" style="1" bestFit="1" customWidth="1"/>
    <col min="6927" max="7168" width="14.7109375" style="1"/>
    <col min="7169" max="7169" width="5.140625" style="1" bestFit="1" customWidth="1"/>
    <col min="7170" max="7170" width="10.7109375" style="1" bestFit="1" customWidth="1"/>
    <col min="7171" max="7171" width="8.7109375" style="1" bestFit="1" customWidth="1"/>
    <col min="7172" max="7172" width="13.28515625" style="1" bestFit="1" customWidth="1"/>
    <col min="7173" max="7173" width="12.5703125" style="1" bestFit="1" customWidth="1"/>
    <col min="7174" max="7174" width="6.28515625" style="1" bestFit="1" customWidth="1"/>
    <col min="7175" max="7175" width="8.85546875" style="1" bestFit="1" customWidth="1"/>
    <col min="7176" max="7176" width="14.140625" style="1" bestFit="1" customWidth="1"/>
    <col min="7177" max="7177" width="10.140625" style="1" bestFit="1" customWidth="1"/>
    <col min="7178" max="7178" width="15.140625" style="1" customWidth="1"/>
    <col min="7179" max="7179" width="14.7109375" style="1" customWidth="1"/>
    <col min="7180" max="7180" width="12.5703125" style="1" bestFit="1" customWidth="1"/>
    <col min="7181" max="7181" width="6" style="1" bestFit="1" customWidth="1"/>
    <col min="7182" max="7182" width="8.7109375" style="1" bestFit="1" customWidth="1"/>
    <col min="7183" max="7424" width="14.7109375" style="1"/>
    <col min="7425" max="7425" width="5.140625" style="1" bestFit="1" customWidth="1"/>
    <col min="7426" max="7426" width="10.7109375" style="1" bestFit="1" customWidth="1"/>
    <col min="7427" max="7427" width="8.7109375" style="1" bestFit="1" customWidth="1"/>
    <col min="7428" max="7428" width="13.28515625" style="1" bestFit="1" customWidth="1"/>
    <col min="7429" max="7429" width="12.5703125" style="1" bestFit="1" customWidth="1"/>
    <col min="7430" max="7430" width="6.28515625" style="1" bestFit="1" customWidth="1"/>
    <col min="7431" max="7431" width="8.85546875" style="1" bestFit="1" customWidth="1"/>
    <col min="7432" max="7432" width="14.140625" style="1" bestFit="1" customWidth="1"/>
    <col min="7433" max="7433" width="10.140625" style="1" bestFit="1" customWidth="1"/>
    <col min="7434" max="7434" width="15.140625" style="1" customWidth="1"/>
    <col min="7435" max="7435" width="14.7109375" style="1" customWidth="1"/>
    <col min="7436" max="7436" width="12.5703125" style="1" bestFit="1" customWidth="1"/>
    <col min="7437" max="7437" width="6" style="1" bestFit="1" customWidth="1"/>
    <col min="7438" max="7438" width="8.7109375" style="1" bestFit="1" customWidth="1"/>
    <col min="7439" max="7680" width="14.7109375" style="1"/>
    <col min="7681" max="7681" width="5.140625" style="1" bestFit="1" customWidth="1"/>
    <col min="7682" max="7682" width="10.7109375" style="1" bestFit="1" customWidth="1"/>
    <col min="7683" max="7683" width="8.7109375" style="1" bestFit="1" customWidth="1"/>
    <col min="7684" max="7684" width="13.28515625" style="1" bestFit="1" customWidth="1"/>
    <col min="7685" max="7685" width="12.5703125" style="1" bestFit="1" customWidth="1"/>
    <col min="7686" max="7686" width="6.28515625" style="1" bestFit="1" customWidth="1"/>
    <col min="7687" max="7687" width="8.85546875" style="1" bestFit="1" customWidth="1"/>
    <col min="7688" max="7688" width="14.140625" style="1" bestFit="1" customWidth="1"/>
    <col min="7689" max="7689" width="10.140625" style="1" bestFit="1" customWidth="1"/>
    <col min="7690" max="7690" width="15.140625" style="1" customWidth="1"/>
    <col min="7691" max="7691" width="14.7109375" style="1" customWidth="1"/>
    <col min="7692" max="7692" width="12.5703125" style="1" bestFit="1" customWidth="1"/>
    <col min="7693" max="7693" width="6" style="1" bestFit="1" customWidth="1"/>
    <col min="7694" max="7694" width="8.7109375" style="1" bestFit="1" customWidth="1"/>
    <col min="7695" max="7936" width="14.7109375" style="1"/>
    <col min="7937" max="7937" width="5.140625" style="1" bestFit="1" customWidth="1"/>
    <col min="7938" max="7938" width="10.7109375" style="1" bestFit="1" customWidth="1"/>
    <col min="7939" max="7939" width="8.7109375" style="1" bestFit="1" customWidth="1"/>
    <col min="7940" max="7940" width="13.28515625" style="1" bestFit="1" customWidth="1"/>
    <col min="7941" max="7941" width="12.5703125" style="1" bestFit="1" customWidth="1"/>
    <col min="7942" max="7942" width="6.28515625" style="1" bestFit="1" customWidth="1"/>
    <col min="7943" max="7943" width="8.85546875" style="1" bestFit="1" customWidth="1"/>
    <col min="7944" max="7944" width="14.140625" style="1" bestFit="1" customWidth="1"/>
    <col min="7945" max="7945" width="10.140625" style="1" bestFit="1" customWidth="1"/>
    <col min="7946" max="7946" width="15.140625" style="1" customWidth="1"/>
    <col min="7947" max="7947" width="14.7109375" style="1" customWidth="1"/>
    <col min="7948" max="7948" width="12.5703125" style="1" bestFit="1" customWidth="1"/>
    <col min="7949" max="7949" width="6" style="1" bestFit="1" customWidth="1"/>
    <col min="7950" max="7950" width="8.7109375" style="1" bestFit="1" customWidth="1"/>
    <col min="7951" max="8192" width="14.7109375" style="1"/>
    <col min="8193" max="8193" width="5.140625" style="1" bestFit="1" customWidth="1"/>
    <col min="8194" max="8194" width="10.7109375" style="1" bestFit="1" customWidth="1"/>
    <col min="8195" max="8195" width="8.7109375" style="1" bestFit="1" customWidth="1"/>
    <col min="8196" max="8196" width="13.28515625" style="1" bestFit="1" customWidth="1"/>
    <col min="8197" max="8197" width="12.5703125" style="1" bestFit="1" customWidth="1"/>
    <col min="8198" max="8198" width="6.28515625" style="1" bestFit="1" customWidth="1"/>
    <col min="8199" max="8199" width="8.85546875" style="1" bestFit="1" customWidth="1"/>
    <col min="8200" max="8200" width="14.140625" style="1" bestFit="1" customWidth="1"/>
    <col min="8201" max="8201" width="10.140625" style="1" bestFit="1" customWidth="1"/>
    <col min="8202" max="8202" width="15.140625" style="1" customWidth="1"/>
    <col min="8203" max="8203" width="14.7109375" style="1" customWidth="1"/>
    <col min="8204" max="8204" width="12.5703125" style="1" bestFit="1" customWidth="1"/>
    <col min="8205" max="8205" width="6" style="1" bestFit="1" customWidth="1"/>
    <col min="8206" max="8206" width="8.7109375" style="1" bestFit="1" customWidth="1"/>
    <col min="8207" max="8448" width="14.7109375" style="1"/>
    <col min="8449" max="8449" width="5.140625" style="1" bestFit="1" customWidth="1"/>
    <col min="8450" max="8450" width="10.7109375" style="1" bestFit="1" customWidth="1"/>
    <col min="8451" max="8451" width="8.7109375" style="1" bestFit="1" customWidth="1"/>
    <col min="8452" max="8452" width="13.28515625" style="1" bestFit="1" customWidth="1"/>
    <col min="8453" max="8453" width="12.5703125" style="1" bestFit="1" customWidth="1"/>
    <col min="8454" max="8454" width="6.28515625" style="1" bestFit="1" customWidth="1"/>
    <col min="8455" max="8455" width="8.85546875" style="1" bestFit="1" customWidth="1"/>
    <col min="8456" max="8456" width="14.140625" style="1" bestFit="1" customWidth="1"/>
    <col min="8457" max="8457" width="10.140625" style="1" bestFit="1" customWidth="1"/>
    <col min="8458" max="8458" width="15.140625" style="1" customWidth="1"/>
    <col min="8459" max="8459" width="14.7109375" style="1" customWidth="1"/>
    <col min="8460" max="8460" width="12.5703125" style="1" bestFit="1" customWidth="1"/>
    <col min="8461" max="8461" width="6" style="1" bestFit="1" customWidth="1"/>
    <col min="8462" max="8462" width="8.7109375" style="1" bestFit="1" customWidth="1"/>
    <col min="8463" max="8704" width="14.7109375" style="1"/>
    <col min="8705" max="8705" width="5.140625" style="1" bestFit="1" customWidth="1"/>
    <col min="8706" max="8706" width="10.7109375" style="1" bestFit="1" customWidth="1"/>
    <col min="8707" max="8707" width="8.7109375" style="1" bestFit="1" customWidth="1"/>
    <col min="8708" max="8708" width="13.28515625" style="1" bestFit="1" customWidth="1"/>
    <col min="8709" max="8709" width="12.5703125" style="1" bestFit="1" customWidth="1"/>
    <col min="8710" max="8710" width="6.28515625" style="1" bestFit="1" customWidth="1"/>
    <col min="8711" max="8711" width="8.85546875" style="1" bestFit="1" customWidth="1"/>
    <col min="8712" max="8712" width="14.140625" style="1" bestFit="1" customWidth="1"/>
    <col min="8713" max="8713" width="10.140625" style="1" bestFit="1" customWidth="1"/>
    <col min="8714" max="8714" width="15.140625" style="1" customWidth="1"/>
    <col min="8715" max="8715" width="14.7109375" style="1" customWidth="1"/>
    <col min="8716" max="8716" width="12.5703125" style="1" bestFit="1" customWidth="1"/>
    <col min="8717" max="8717" width="6" style="1" bestFit="1" customWidth="1"/>
    <col min="8718" max="8718" width="8.7109375" style="1" bestFit="1" customWidth="1"/>
    <col min="8719" max="8960" width="14.7109375" style="1"/>
    <col min="8961" max="8961" width="5.140625" style="1" bestFit="1" customWidth="1"/>
    <col min="8962" max="8962" width="10.7109375" style="1" bestFit="1" customWidth="1"/>
    <col min="8963" max="8963" width="8.7109375" style="1" bestFit="1" customWidth="1"/>
    <col min="8964" max="8964" width="13.28515625" style="1" bestFit="1" customWidth="1"/>
    <col min="8965" max="8965" width="12.5703125" style="1" bestFit="1" customWidth="1"/>
    <col min="8966" max="8966" width="6.28515625" style="1" bestFit="1" customWidth="1"/>
    <col min="8967" max="8967" width="8.85546875" style="1" bestFit="1" customWidth="1"/>
    <col min="8968" max="8968" width="14.140625" style="1" bestFit="1" customWidth="1"/>
    <col min="8969" max="8969" width="10.140625" style="1" bestFit="1" customWidth="1"/>
    <col min="8970" max="8970" width="15.140625" style="1" customWidth="1"/>
    <col min="8971" max="8971" width="14.7109375" style="1" customWidth="1"/>
    <col min="8972" max="8972" width="12.5703125" style="1" bestFit="1" customWidth="1"/>
    <col min="8973" max="8973" width="6" style="1" bestFit="1" customWidth="1"/>
    <col min="8974" max="8974" width="8.7109375" style="1" bestFit="1" customWidth="1"/>
    <col min="8975" max="9216" width="14.7109375" style="1"/>
    <col min="9217" max="9217" width="5.140625" style="1" bestFit="1" customWidth="1"/>
    <col min="9218" max="9218" width="10.7109375" style="1" bestFit="1" customWidth="1"/>
    <col min="9219" max="9219" width="8.7109375" style="1" bestFit="1" customWidth="1"/>
    <col min="9220" max="9220" width="13.28515625" style="1" bestFit="1" customWidth="1"/>
    <col min="9221" max="9221" width="12.5703125" style="1" bestFit="1" customWidth="1"/>
    <col min="9222" max="9222" width="6.28515625" style="1" bestFit="1" customWidth="1"/>
    <col min="9223" max="9223" width="8.85546875" style="1" bestFit="1" customWidth="1"/>
    <col min="9224" max="9224" width="14.140625" style="1" bestFit="1" customWidth="1"/>
    <col min="9225" max="9225" width="10.140625" style="1" bestFit="1" customWidth="1"/>
    <col min="9226" max="9226" width="15.140625" style="1" customWidth="1"/>
    <col min="9227" max="9227" width="14.7109375" style="1" customWidth="1"/>
    <col min="9228" max="9228" width="12.5703125" style="1" bestFit="1" customWidth="1"/>
    <col min="9229" max="9229" width="6" style="1" bestFit="1" customWidth="1"/>
    <col min="9230" max="9230" width="8.7109375" style="1" bestFit="1" customWidth="1"/>
    <col min="9231" max="9472" width="14.7109375" style="1"/>
    <col min="9473" max="9473" width="5.140625" style="1" bestFit="1" customWidth="1"/>
    <col min="9474" max="9474" width="10.7109375" style="1" bestFit="1" customWidth="1"/>
    <col min="9475" max="9475" width="8.7109375" style="1" bestFit="1" customWidth="1"/>
    <col min="9476" max="9476" width="13.28515625" style="1" bestFit="1" customWidth="1"/>
    <col min="9477" max="9477" width="12.5703125" style="1" bestFit="1" customWidth="1"/>
    <col min="9478" max="9478" width="6.28515625" style="1" bestFit="1" customWidth="1"/>
    <col min="9479" max="9479" width="8.85546875" style="1" bestFit="1" customWidth="1"/>
    <col min="9480" max="9480" width="14.140625" style="1" bestFit="1" customWidth="1"/>
    <col min="9481" max="9481" width="10.140625" style="1" bestFit="1" customWidth="1"/>
    <col min="9482" max="9482" width="15.140625" style="1" customWidth="1"/>
    <col min="9483" max="9483" width="14.7109375" style="1" customWidth="1"/>
    <col min="9484" max="9484" width="12.5703125" style="1" bestFit="1" customWidth="1"/>
    <col min="9485" max="9485" width="6" style="1" bestFit="1" customWidth="1"/>
    <col min="9486" max="9486" width="8.7109375" style="1" bestFit="1" customWidth="1"/>
    <col min="9487" max="9728" width="14.7109375" style="1"/>
    <col min="9729" max="9729" width="5.140625" style="1" bestFit="1" customWidth="1"/>
    <col min="9730" max="9730" width="10.7109375" style="1" bestFit="1" customWidth="1"/>
    <col min="9731" max="9731" width="8.7109375" style="1" bestFit="1" customWidth="1"/>
    <col min="9732" max="9732" width="13.28515625" style="1" bestFit="1" customWidth="1"/>
    <col min="9733" max="9733" width="12.5703125" style="1" bestFit="1" customWidth="1"/>
    <col min="9734" max="9734" width="6.28515625" style="1" bestFit="1" customWidth="1"/>
    <col min="9735" max="9735" width="8.85546875" style="1" bestFit="1" customWidth="1"/>
    <col min="9736" max="9736" width="14.140625" style="1" bestFit="1" customWidth="1"/>
    <col min="9737" max="9737" width="10.140625" style="1" bestFit="1" customWidth="1"/>
    <col min="9738" max="9738" width="15.140625" style="1" customWidth="1"/>
    <col min="9739" max="9739" width="14.7109375" style="1" customWidth="1"/>
    <col min="9740" max="9740" width="12.5703125" style="1" bestFit="1" customWidth="1"/>
    <col min="9741" max="9741" width="6" style="1" bestFit="1" customWidth="1"/>
    <col min="9742" max="9742" width="8.7109375" style="1" bestFit="1" customWidth="1"/>
    <col min="9743" max="9984" width="14.7109375" style="1"/>
    <col min="9985" max="9985" width="5.140625" style="1" bestFit="1" customWidth="1"/>
    <col min="9986" max="9986" width="10.7109375" style="1" bestFit="1" customWidth="1"/>
    <col min="9987" max="9987" width="8.7109375" style="1" bestFit="1" customWidth="1"/>
    <col min="9988" max="9988" width="13.28515625" style="1" bestFit="1" customWidth="1"/>
    <col min="9989" max="9989" width="12.5703125" style="1" bestFit="1" customWidth="1"/>
    <col min="9990" max="9990" width="6.28515625" style="1" bestFit="1" customWidth="1"/>
    <col min="9991" max="9991" width="8.85546875" style="1" bestFit="1" customWidth="1"/>
    <col min="9992" max="9992" width="14.140625" style="1" bestFit="1" customWidth="1"/>
    <col min="9993" max="9993" width="10.140625" style="1" bestFit="1" customWidth="1"/>
    <col min="9994" max="9994" width="15.140625" style="1" customWidth="1"/>
    <col min="9995" max="9995" width="14.7109375" style="1" customWidth="1"/>
    <col min="9996" max="9996" width="12.5703125" style="1" bestFit="1" customWidth="1"/>
    <col min="9997" max="9997" width="6" style="1" bestFit="1" customWidth="1"/>
    <col min="9998" max="9998" width="8.7109375" style="1" bestFit="1" customWidth="1"/>
    <col min="9999" max="10240" width="14.7109375" style="1"/>
    <col min="10241" max="10241" width="5.140625" style="1" bestFit="1" customWidth="1"/>
    <col min="10242" max="10242" width="10.7109375" style="1" bestFit="1" customWidth="1"/>
    <col min="10243" max="10243" width="8.7109375" style="1" bestFit="1" customWidth="1"/>
    <col min="10244" max="10244" width="13.28515625" style="1" bestFit="1" customWidth="1"/>
    <col min="10245" max="10245" width="12.5703125" style="1" bestFit="1" customWidth="1"/>
    <col min="10246" max="10246" width="6.28515625" style="1" bestFit="1" customWidth="1"/>
    <col min="10247" max="10247" width="8.85546875" style="1" bestFit="1" customWidth="1"/>
    <col min="10248" max="10248" width="14.140625" style="1" bestFit="1" customWidth="1"/>
    <col min="10249" max="10249" width="10.140625" style="1" bestFit="1" customWidth="1"/>
    <col min="10250" max="10250" width="15.140625" style="1" customWidth="1"/>
    <col min="10251" max="10251" width="14.7109375" style="1" customWidth="1"/>
    <col min="10252" max="10252" width="12.5703125" style="1" bestFit="1" customWidth="1"/>
    <col min="10253" max="10253" width="6" style="1" bestFit="1" customWidth="1"/>
    <col min="10254" max="10254" width="8.7109375" style="1" bestFit="1" customWidth="1"/>
    <col min="10255" max="10496" width="14.7109375" style="1"/>
    <col min="10497" max="10497" width="5.140625" style="1" bestFit="1" customWidth="1"/>
    <col min="10498" max="10498" width="10.7109375" style="1" bestFit="1" customWidth="1"/>
    <col min="10499" max="10499" width="8.7109375" style="1" bestFit="1" customWidth="1"/>
    <col min="10500" max="10500" width="13.28515625" style="1" bestFit="1" customWidth="1"/>
    <col min="10501" max="10501" width="12.5703125" style="1" bestFit="1" customWidth="1"/>
    <col min="10502" max="10502" width="6.28515625" style="1" bestFit="1" customWidth="1"/>
    <col min="10503" max="10503" width="8.85546875" style="1" bestFit="1" customWidth="1"/>
    <col min="10504" max="10504" width="14.140625" style="1" bestFit="1" customWidth="1"/>
    <col min="10505" max="10505" width="10.140625" style="1" bestFit="1" customWidth="1"/>
    <col min="10506" max="10506" width="15.140625" style="1" customWidth="1"/>
    <col min="10507" max="10507" width="14.7109375" style="1" customWidth="1"/>
    <col min="10508" max="10508" width="12.5703125" style="1" bestFit="1" customWidth="1"/>
    <col min="10509" max="10509" width="6" style="1" bestFit="1" customWidth="1"/>
    <col min="10510" max="10510" width="8.7109375" style="1" bestFit="1" customWidth="1"/>
    <col min="10511" max="10752" width="14.7109375" style="1"/>
    <col min="10753" max="10753" width="5.140625" style="1" bestFit="1" customWidth="1"/>
    <col min="10754" max="10754" width="10.7109375" style="1" bestFit="1" customWidth="1"/>
    <col min="10755" max="10755" width="8.7109375" style="1" bestFit="1" customWidth="1"/>
    <col min="10756" max="10756" width="13.28515625" style="1" bestFit="1" customWidth="1"/>
    <col min="10757" max="10757" width="12.5703125" style="1" bestFit="1" customWidth="1"/>
    <col min="10758" max="10758" width="6.28515625" style="1" bestFit="1" customWidth="1"/>
    <col min="10759" max="10759" width="8.85546875" style="1" bestFit="1" customWidth="1"/>
    <col min="10760" max="10760" width="14.140625" style="1" bestFit="1" customWidth="1"/>
    <col min="10761" max="10761" width="10.140625" style="1" bestFit="1" customWidth="1"/>
    <col min="10762" max="10762" width="15.140625" style="1" customWidth="1"/>
    <col min="10763" max="10763" width="14.7109375" style="1" customWidth="1"/>
    <col min="10764" max="10764" width="12.5703125" style="1" bestFit="1" customWidth="1"/>
    <col min="10765" max="10765" width="6" style="1" bestFit="1" customWidth="1"/>
    <col min="10766" max="10766" width="8.7109375" style="1" bestFit="1" customWidth="1"/>
    <col min="10767" max="11008" width="14.7109375" style="1"/>
    <col min="11009" max="11009" width="5.140625" style="1" bestFit="1" customWidth="1"/>
    <col min="11010" max="11010" width="10.7109375" style="1" bestFit="1" customWidth="1"/>
    <col min="11011" max="11011" width="8.7109375" style="1" bestFit="1" customWidth="1"/>
    <col min="11012" max="11012" width="13.28515625" style="1" bestFit="1" customWidth="1"/>
    <col min="11013" max="11013" width="12.5703125" style="1" bestFit="1" customWidth="1"/>
    <col min="11014" max="11014" width="6.28515625" style="1" bestFit="1" customWidth="1"/>
    <col min="11015" max="11015" width="8.85546875" style="1" bestFit="1" customWidth="1"/>
    <col min="11016" max="11016" width="14.140625" style="1" bestFit="1" customWidth="1"/>
    <col min="11017" max="11017" width="10.140625" style="1" bestFit="1" customWidth="1"/>
    <col min="11018" max="11018" width="15.140625" style="1" customWidth="1"/>
    <col min="11019" max="11019" width="14.7109375" style="1" customWidth="1"/>
    <col min="11020" max="11020" width="12.5703125" style="1" bestFit="1" customWidth="1"/>
    <col min="11021" max="11021" width="6" style="1" bestFit="1" customWidth="1"/>
    <col min="11022" max="11022" width="8.7109375" style="1" bestFit="1" customWidth="1"/>
    <col min="11023" max="11264" width="14.7109375" style="1"/>
    <col min="11265" max="11265" width="5.140625" style="1" bestFit="1" customWidth="1"/>
    <col min="11266" max="11266" width="10.7109375" style="1" bestFit="1" customWidth="1"/>
    <col min="11267" max="11267" width="8.7109375" style="1" bestFit="1" customWidth="1"/>
    <col min="11268" max="11268" width="13.28515625" style="1" bestFit="1" customWidth="1"/>
    <col min="11269" max="11269" width="12.5703125" style="1" bestFit="1" customWidth="1"/>
    <col min="11270" max="11270" width="6.28515625" style="1" bestFit="1" customWidth="1"/>
    <col min="11271" max="11271" width="8.85546875" style="1" bestFit="1" customWidth="1"/>
    <col min="11272" max="11272" width="14.140625" style="1" bestFit="1" customWidth="1"/>
    <col min="11273" max="11273" width="10.140625" style="1" bestFit="1" customWidth="1"/>
    <col min="11274" max="11274" width="15.140625" style="1" customWidth="1"/>
    <col min="11275" max="11275" width="14.7109375" style="1" customWidth="1"/>
    <col min="11276" max="11276" width="12.5703125" style="1" bestFit="1" customWidth="1"/>
    <col min="11277" max="11277" width="6" style="1" bestFit="1" customWidth="1"/>
    <col min="11278" max="11278" width="8.7109375" style="1" bestFit="1" customWidth="1"/>
    <col min="11279" max="11520" width="14.7109375" style="1"/>
    <col min="11521" max="11521" width="5.140625" style="1" bestFit="1" customWidth="1"/>
    <col min="11522" max="11522" width="10.7109375" style="1" bestFit="1" customWidth="1"/>
    <col min="11523" max="11523" width="8.7109375" style="1" bestFit="1" customWidth="1"/>
    <col min="11524" max="11524" width="13.28515625" style="1" bestFit="1" customWidth="1"/>
    <col min="11525" max="11525" width="12.5703125" style="1" bestFit="1" customWidth="1"/>
    <col min="11526" max="11526" width="6.28515625" style="1" bestFit="1" customWidth="1"/>
    <col min="11527" max="11527" width="8.85546875" style="1" bestFit="1" customWidth="1"/>
    <col min="11528" max="11528" width="14.140625" style="1" bestFit="1" customWidth="1"/>
    <col min="11529" max="11529" width="10.140625" style="1" bestFit="1" customWidth="1"/>
    <col min="11530" max="11530" width="15.140625" style="1" customWidth="1"/>
    <col min="11531" max="11531" width="14.7109375" style="1" customWidth="1"/>
    <col min="11532" max="11532" width="12.5703125" style="1" bestFit="1" customWidth="1"/>
    <col min="11533" max="11533" width="6" style="1" bestFit="1" customWidth="1"/>
    <col min="11534" max="11534" width="8.7109375" style="1" bestFit="1" customWidth="1"/>
    <col min="11535" max="11776" width="14.7109375" style="1"/>
    <col min="11777" max="11777" width="5.140625" style="1" bestFit="1" customWidth="1"/>
    <col min="11778" max="11778" width="10.7109375" style="1" bestFit="1" customWidth="1"/>
    <col min="11779" max="11779" width="8.7109375" style="1" bestFit="1" customWidth="1"/>
    <col min="11780" max="11780" width="13.28515625" style="1" bestFit="1" customWidth="1"/>
    <col min="11781" max="11781" width="12.5703125" style="1" bestFit="1" customWidth="1"/>
    <col min="11782" max="11782" width="6.28515625" style="1" bestFit="1" customWidth="1"/>
    <col min="11783" max="11783" width="8.85546875" style="1" bestFit="1" customWidth="1"/>
    <col min="11784" max="11784" width="14.140625" style="1" bestFit="1" customWidth="1"/>
    <col min="11785" max="11785" width="10.140625" style="1" bestFit="1" customWidth="1"/>
    <col min="11786" max="11786" width="15.140625" style="1" customWidth="1"/>
    <col min="11787" max="11787" width="14.7109375" style="1" customWidth="1"/>
    <col min="11788" max="11788" width="12.5703125" style="1" bestFit="1" customWidth="1"/>
    <col min="11789" max="11789" width="6" style="1" bestFit="1" customWidth="1"/>
    <col min="11790" max="11790" width="8.7109375" style="1" bestFit="1" customWidth="1"/>
    <col min="11791" max="12032" width="14.7109375" style="1"/>
    <col min="12033" max="12033" width="5.140625" style="1" bestFit="1" customWidth="1"/>
    <col min="12034" max="12034" width="10.7109375" style="1" bestFit="1" customWidth="1"/>
    <col min="12035" max="12035" width="8.7109375" style="1" bestFit="1" customWidth="1"/>
    <col min="12036" max="12036" width="13.28515625" style="1" bestFit="1" customWidth="1"/>
    <col min="12037" max="12037" width="12.5703125" style="1" bestFit="1" customWidth="1"/>
    <col min="12038" max="12038" width="6.28515625" style="1" bestFit="1" customWidth="1"/>
    <col min="12039" max="12039" width="8.85546875" style="1" bestFit="1" customWidth="1"/>
    <col min="12040" max="12040" width="14.140625" style="1" bestFit="1" customWidth="1"/>
    <col min="12041" max="12041" width="10.140625" style="1" bestFit="1" customWidth="1"/>
    <col min="12042" max="12042" width="15.140625" style="1" customWidth="1"/>
    <col min="12043" max="12043" width="14.7109375" style="1" customWidth="1"/>
    <col min="12044" max="12044" width="12.5703125" style="1" bestFit="1" customWidth="1"/>
    <col min="12045" max="12045" width="6" style="1" bestFit="1" customWidth="1"/>
    <col min="12046" max="12046" width="8.7109375" style="1" bestFit="1" customWidth="1"/>
    <col min="12047" max="12288" width="14.7109375" style="1"/>
    <col min="12289" max="12289" width="5.140625" style="1" bestFit="1" customWidth="1"/>
    <col min="12290" max="12290" width="10.7109375" style="1" bestFit="1" customWidth="1"/>
    <col min="12291" max="12291" width="8.7109375" style="1" bestFit="1" customWidth="1"/>
    <col min="12292" max="12292" width="13.28515625" style="1" bestFit="1" customWidth="1"/>
    <col min="12293" max="12293" width="12.5703125" style="1" bestFit="1" customWidth="1"/>
    <col min="12294" max="12294" width="6.28515625" style="1" bestFit="1" customWidth="1"/>
    <col min="12295" max="12295" width="8.85546875" style="1" bestFit="1" customWidth="1"/>
    <col min="12296" max="12296" width="14.140625" style="1" bestFit="1" customWidth="1"/>
    <col min="12297" max="12297" width="10.140625" style="1" bestFit="1" customWidth="1"/>
    <col min="12298" max="12298" width="15.140625" style="1" customWidth="1"/>
    <col min="12299" max="12299" width="14.7109375" style="1" customWidth="1"/>
    <col min="12300" max="12300" width="12.5703125" style="1" bestFit="1" customWidth="1"/>
    <col min="12301" max="12301" width="6" style="1" bestFit="1" customWidth="1"/>
    <col min="12302" max="12302" width="8.7109375" style="1" bestFit="1" customWidth="1"/>
    <col min="12303" max="12544" width="14.7109375" style="1"/>
    <col min="12545" max="12545" width="5.140625" style="1" bestFit="1" customWidth="1"/>
    <col min="12546" max="12546" width="10.7109375" style="1" bestFit="1" customWidth="1"/>
    <col min="12547" max="12547" width="8.7109375" style="1" bestFit="1" customWidth="1"/>
    <col min="12548" max="12548" width="13.28515625" style="1" bestFit="1" customWidth="1"/>
    <col min="12549" max="12549" width="12.5703125" style="1" bestFit="1" customWidth="1"/>
    <col min="12550" max="12550" width="6.28515625" style="1" bestFit="1" customWidth="1"/>
    <col min="12551" max="12551" width="8.85546875" style="1" bestFit="1" customWidth="1"/>
    <col min="12552" max="12552" width="14.140625" style="1" bestFit="1" customWidth="1"/>
    <col min="12553" max="12553" width="10.140625" style="1" bestFit="1" customWidth="1"/>
    <col min="12554" max="12554" width="15.140625" style="1" customWidth="1"/>
    <col min="12555" max="12555" width="14.7109375" style="1" customWidth="1"/>
    <col min="12556" max="12556" width="12.5703125" style="1" bestFit="1" customWidth="1"/>
    <col min="12557" max="12557" width="6" style="1" bestFit="1" customWidth="1"/>
    <col min="12558" max="12558" width="8.7109375" style="1" bestFit="1" customWidth="1"/>
    <col min="12559" max="12800" width="14.7109375" style="1"/>
    <col min="12801" max="12801" width="5.140625" style="1" bestFit="1" customWidth="1"/>
    <col min="12802" max="12802" width="10.7109375" style="1" bestFit="1" customWidth="1"/>
    <col min="12803" max="12803" width="8.7109375" style="1" bestFit="1" customWidth="1"/>
    <col min="12804" max="12804" width="13.28515625" style="1" bestFit="1" customWidth="1"/>
    <col min="12805" max="12805" width="12.5703125" style="1" bestFit="1" customWidth="1"/>
    <col min="12806" max="12806" width="6.28515625" style="1" bestFit="1" customWidth="1"/>
    <col min="12807" max="12807" width="8.85546875" style="1" bestFit="1" customWidth="1"/>
    <col min="12808" max="12808" width="14.140625" style="1" bestFit="1" customWidth="1"/>
    <col min="12809" max="12809" width="10.140625" style="1" bestFit="1" customWidth="1"/>
    <col min="12810" max="12810" width="15.140625" style="1" customWidth="1"/>
    <col min="12811" max="12811" width="14.7109375" style="1" customWidth="1"/>
    <col min="12812" max="12812" width="12.5703125" style="1" bestFit="1" customWidth="1"/>
    <col min="12813" max="12813" width="6" style="1" bestFit="1" customWidth="1"/>
    <col min="12814" max="12814" width="8.7109375" style="1" bestFit="1" customWidth="1"/>
    <col min="12815" max="13056" width="14.7109375" style="1"/>
    <col min="13057" max="13057" width="5.140625" style="1" bestFit="1" customWidth="1"/>
    <col min="13058" max="13058" width="10.7109375" style="1" bestFit="1" customWidth="1"/>
    <col min="13059" max="13059" width="8.7109375" style="1" bestFit="1" customWidth="1"/>
    <col min="13060" max="13060" width="13.28515625" style="1" bestFit="1" customWidth="1"/>
    <col min="13061" max="13061" width="12.5703125" style="1" bestFit="1" customWidth="1"/>
    <col min="13062" max="13062" width="6.28515625" style="1" bestFit="1" customWidth="1"/>
    <col min="13063" max="13063" width="8.85546875" style="1" bestFit="1" customWidth="1"/>
    <col min="13064" max="13064" width="14.140625" style="1" bestFit="1" customWidth="1"/>
    <col min="13065" max="13065" width="10.140625" style="1" bestFit="1" customWidth="1"/>
    <col min="13066" max="13066" width="15.140625" style="1" customWidth="1"/>
    <col min="13067" max="13067" width="14.7109375" style="1" customWidth="1"/>
    <col min="13068" max="13068" width="12.5703125" style="1" bestFit="1" customWidth="1"/>
    <col min="13069" max="13069" width="6" style="1" bestFit="1" customWidth="1"/>
    <col min="13070" max="13070" width="8.7109375" style="1" bestFit="1" customWidth="1"/>
    <col min="13071" max="13312" width="14.7109375" style="1"/>
    <col min="13313" max="13313" width="5.140625" style="1" bestFit="1" customWidth="1"/>
    <col min="13314" max="13314" width="10.7109375" style="1" bestFit="1" customWidth="1"/>
    <col min="13315" max="13315" width="8.7109375" style="1" bestFit="1" customWidth="1"/>
    <col min="13316" max="13316" width="13.28515625" style="1" bestFit="1" customWidth="1"/>
    <col min="13317" max="13317" width="12.5703125" style="1" bestFit="1" customWidth="1"/>
    <col min="13318" max="13318" width="6.28515625" style="1" bestFit="1" customWidth="1"/>
    <col min="13319" max="13319" width="8.85546875" style="1" bestFit="1" customWidth="1"/>
    <col min="13320" max="13320" width="14.140625" style="1" bestFit="1" customWidth="1"/>
    <col min="13321" max="13321" width="10.140625" style="1" bestFit="1" customWidth="1"/>
    <col min="13322" max="13322" width="15.140625" style="1" customWidth="1"/>
    <col min="13323" max="13323" width="14.7109375" style="1" customWidth="1"/>
    <col min="13324" max="13324" width="12.5703125" style="1" bestFit="1" customWidth="1"/>
    <col min="13325" max="13325" width="6" style="1" bestFit="1" customWidth="1"/>
    <col min="13326" max="13326" width="8.7109375" style="1" bestFit="1" customWidth="1"/>
    <col min="13327" max="13568" width="14.7109375" style="1"/>
    <col min="13569" max="13569" width="5.140625" style="1" bestFit="1" customWidth="1"/>
    <col min="13570" max="13570" width="10.7109375" style="1" bestFit="1" customWidth="1"/>
    <col min="13571" max="13571" width="8.7109375" style="1" bestFit="1" customWidth="1"/>
    <col min="13572" max="13572" width="13.28515625" style="1" bestFit="1" customWidth="1"/>
    <col min="13573" max="13573" width="12.5703125" style="1" bestFit="1" customWidth="1"/>
    <col min="13574" max="13574" width="6.28515625" style="1" bestFit="1" customWidth="1"/>
    <col min="13575" max="13575" width="8.85546875" style="1" bestFit="1" customWidth="1"/>
    <col min="13576" max="13576" width="14.140625" style="1" bestFit="1" customWidth="1"/>
    <col min="13577" max="13577" width="10.140625" style="1" bestFit="1" customWidth="1"/>
    <col min="13578" max="13578" width="15.140625" style="1" customWidth="1"/>
    <col min="13579" max="13579" width="14.7109375" style="1" customWidth="1"/>
    <col min="13580" max="13580" width="12.5703125" style="1" bestFit="1" customWidth="1"/>
    <col min="13581" max="13581" width="6" style="1" bestFit="1" customWidth="1"/>
    <col min="13582" max="13582" width="8.7109375" style="1" bestFit="1" customWidth="1"/>
    <col min="13583" max="13824" width="14.7109375" style="1"/>
    <col min="13825" max="13825" width="5.140625" style="1" bestFit="1" customWidth="1"/>
    <col min="13826" max="13826" width="10.7109375" style="1" bestFit="1" customWidth="1"/>
    <col min="13827" max="13827" width="8.7109375" style="1" bestFit="1" customWidth="1"/>
    <col min="13828" max="13828" width="13.28515625" style="1" bestFit="1" customWidth="1"/>
    <col min="13829" max="13829" width="12.5703125" style="1" bestFit="1" customWidth="1"/>
    <col min="13830" max="13830" width="6.28515625" style="1" bestFit="1" customWidth="1"/>
    <col min="13831" max="13831" width="8.85546875" style="1" bestFit="1" customWidth="1"/>
    <col min="13832" max="13832" width="14.140625" style="1" bestFit="1" customWidth="1"/>
    <col min="13833" max="13833" width="10.140625" style="1" bestFit="1" customWidth="1"/>
    <col min="13834" max="13834" width="15.140625" style="1" customWidth="1"/>
    <col min="13835" max="13835" width="14.7109375" style="1" customWidth="1"/>
    <col min="13836" max="13836" width="12.5703125" style="1" bestFit="1" customWidth="1"/>
    <col min="13837" max="13837" width="6" style="1" bestFit="1" customWidth="1"/>
    <col min="13838" max="13838" width="8.7109375" style="1" bestFit="1" customWidth="1"/>
    <col min="13839" max="14080" width="14.7109375" style="1"/>
    <col min="14081" max="14081" width="5.140625" style="1" bestFit="1" customWidth="1"/>
    <col min="14082" max="14082" width="10.7109375" style="1" bestFit="1" customWidth="1"/>
    <col min="14083" max="14083" width="8.7109375" style="1" bestFit="1" customWidth="1"/>
    <col min="14084" max="14084" width="13.28515625" style="1" bestFit="1" customWidth="1"/>
    <col min="14085" max="14085" width="12.5703125" style="1" bestFit="1" customWidth="1"/>
    <col min="14086" max="14086" width="6.28515625" style="1" bestFit="1" customWidth="1"/>
    <col min="14087" max="14087" width="8.85546875" style="1" bestFit="1" customWidth="1"/>
    <col min="14088" max="14088" width="14.140625" style="1" bestFit="1" customWidth="1"/>
    <col min="14089" max="14089" width="10.140625" style="1" bestFit="1" customWidth="1"/>
    <col min="14090" max="14090" width="15.140625" style="1" customWidth="1"/>
    <col min="14091" max="14091" width="14.7109375" style="1" customWidth="1"/>
    <col min="14092" max="14092" width="12.5703125" style="1" bestFit="1" customWidth="1"/>
    <col min="14093" max="14093" width="6" style="1" bestFit="1" customWidth="1"/>
    <col min="14094" max="14094" width="8.7109375" style="1" bestFit="1" customWidth="1"/>
    <col min="14095" max="14336" width="14.7109375" style="1"/>
    <col min="14337" max="14337" width="5.140625" style="1" bestFit="1" customWidth="1"/>
    <col min="14338" max="14338" width="10.7109375" style="1" bestFit="1" customWidth="1"/>
    <col min="14339" max="14339" width="8.7109375" style="1" bestFit="1" customWidth="1"/>
    <col min="14340" max="14340" width="13.28515625" style="1" bestFit="1" customWidth="1"/>
    <col min="14341" max="14341" width="12.5703125" style="1" bestFit="1" customWidth="1"/>
    <col min="14342" max="14342" width="6.28515625" style="1" bestFit="1" customWidth="1"/>
    <col min="14343" max="14343" width="8.85546875" style="1" bestFit="1" customWidth="1"/>
    <col min="14344" max="14344" width="14.140625" style="1" bestFit="1" customWidth="1"/>
    <col min="14345" max="14345" width="10.140625" style="1" bestFit="1" customWidth="1"/>
    <col min="14346" max="14346" width="15.140625" style="1" customWidth="1"/>
    <col min="14347" max="14347" width="14.7109375" style="1" customWidth="1"/>
    <col min="14348" max="14348" width="12.5703125" style="1" bestFit="1" customWidth="1"/>
    <col min="14349" max="14349" width="6" style="1" bestFit="1" customWidth="1"/>
    <col min="14350" max="14350" width="8.7109375" style="1" bestFit="1" customWidth="1"/>
    <col min="14351" max="14592" width="14.7109375" style="1"/>
    <col min="14593" max="14593" width="5.140625" style="1" bestFit="1" customWidth="1"/>
    <col min="14594" max="14594" width="10.7109375" style="1" bestFit="1" customWidth="1"/>
    <col min="14595" max="14595" width="8.7109375" style="1" bestFit="1" customWidth="1"/>
    <col min="14596" max="14596" width="13.28515625" style="1" bestFit="1" customWidth="1"/>
    <col min="14597" max="14597" width="12.5703125" style="1" bestFit="1" customWidth="1"/>
    <col min="14598" max="14598" width="6.28515625" style="1" bestFit="1" customWidth="1"/>
    <col min="14599" max="14599" width="8.85546875" style="1" bestFit="1" customWidth="1"/>
    <col min="14600" max="14600" width="14.140625" style="1" bestFit="1" customWidth="1"/>
    <col min="14601" max="14601" width="10.140625" style="1" bestFit="1" customWidth="1"/>
    <col min="14602" max="14602" width="15.140625" style="1" customWidth="1"/>
    <col min="14603" max="14603" width="14.7109375" style="1" customWidth="1"/>
    <col min="14604" max="14604" width="12.5703125" style="1" bestFit="1" customWidth="1"/>
    <col min="14605" max="14605" width="6" style="1" bestFit="1" customWidth="1"/>
    <col min="14606" max="14606" width="8.7109375" style="1" bestFit="1" customWidth="1"/>
    <col min="14607" max="14848" width="14.7109375" style="1"/>
    <col min="14849" max="14849" width="5.140625" style="1" bestFit="1" customWidth="1"/>
    <col min="14850" max="14850" width="10.7109375" style="1" bestFit="1" customWidth="1"/>
    <col min="14851" max="14851" width="8.7109375" style="1" bestFit="1" customWidth="1"/>
    <col min="14852" max="14852" width="13.28515625" style="1" bestFit="1" customWidth="1"/>
    <col min="14853" max="14853" width="12.5703125" style="1" bestFit="1" customWidth="1"/>
    <col min="14854" max="14854" width="6.28515625" style="1" bestFit="1" customWidth="1"/>
    <col min="14855" max="14855" width="8.85546875" style="1" bestFit="1" customWidth="1"/>
    <col min="14856" max="14856" width="14.140625" style="1" bestFit="1" customWidth="1"/>
    <col min="14857" max="14857" width="10.140625" style="1" bestFit="1" customWidth="1"/>
    <col min="14858" max="14858" width="15.140625" style="1" customWidth="1"/>
    <col min="14859" max="14859" width="14.7109375" style="1" customWidth="1"/>
    <col min="14860" max="14860" width="12.5703125" style="1" bestFit="1" customWidth="1"/>
    <col min="14861" max="14861" width="6" style="1" bestFit="1" customWidth="1"/>
    <col min="14862" max="14862" width="8.7109375" style="1" bestFit="1" customWidth="1"/>
    <col min="14863" max="15104" width="14.7109375" style="1"/>
    <col min="15105" max="15105" width="5.140625" style="1" bestFit="1" customWidth="1"/>
    <col min="15106" max="15106" width="10.7109375" style="1" bestFit="1" customWidth="1"/>
    <col min="15107" max="15107" width="8.7109375" style="1" bestFit="1" customWidth="1"/>
    <col min="15108" max="15108" width="13.28515625" style="1" bestFit="1" customWidth="1"/>
    <col min="15109" max="15109" width="12.5703125" style="1" bestFit="1" customWidth="1"/>
    <col min="15110" max="15110" width="6.28515625" style="1" bestFit="1" customWidth="1"/>
    <col min="15111" max="15111" width="8.85546875" style="1" bestFit="1" customWidth="1"/>
    <col min="15112" max="15112" width="14.140625" style="1" bestFit="1" customWidth="1"/>
    <col min="15113" max="15113" width="10.140625" style="1" bestFit="1" customWidth="1"/>
    <col min="15114" max="15114" width="15.140625" style="1" customWidth="1"/>
    <col min="15115" max="15115" width="14.7109375" style="1" customWidth="1"/>
    <col min="15116" max="15116" width="12.5703125" style="1" bestFit="1" customWidth="1"/>
    <col min="15117" max="15117" width="6" style="1" bestFit="1" customWidth="1"/>
    <col min="15118" max="15118" width="8.7109375" style="1" bestFit="1" customWidth="1"/>
    <col min="15119" max="15360" width="14.7109375" style="1"/>
    <col min="15361" max="15361" width="5.140625" style="1" bestFit="1" customWidth="1"/>
    <col min="15362" max="15362" width="10.7109375" style="1" bestFit="1" customWidth="1"/>
    <col min="15363" max="15363" width="8.7109375" style="1" bestFit="1" customWidth="1"/>
    <col min="15364" max="15364" width="13.28515625" style="1" bestFit="1" customWidth="1"/>
    <col min="15365" max="15365" width="12.5703125" style="1" bestFit="1" customWidth="1"/>
    <col min="15366" max="15366" width="6.28515625" style="1" bestFit="1" customWidth="1"/>
    <col min="15367" max="15367" width="8.85546875" style="1" bestFit="1" customWidth="1"/>
    <col min="15368" max="15368" width="14.140625" style="1" bestFit="1" customWidth="1"/>
    <col min="15369" max="15369" width="10.140625" style="1" bestFit="1" customWidth="1"/>
    <col min="15370" max="15370" width="15.140625" style="1" customWidth="1"/>
    <col min="15371" max="15371" width="14.7109375" style="1" customWidth="1"/>
    <col min="15372" max="15372" width="12.5703125" style="1" bestFit="1" customWidth="1"/>
    <col min="15373" max="15373" width="6" style="1" bestFit="1" customWidth="1"/>
    <col min="15374" max="15374" width="8.7109375" style="1" bestFit="1" customWidth="1"/>
    <col min="15375" max="15616" width="14.7109375" style="1"/>
    <col min="15617" max="15617" width="5.140625" style="1" bestFit="1" customWidth="1"/>
    <col min="15618" max="15618" width="10.7109375" style="1" bestFit="1" customWidth="1"/>
    <col min="15619" max="15619" width="8.7109375" style="1" bestFit="1" customWidth="1"/>
    <col min="15620" max="15620" width="13.28515625" style="1" bestFit="1" customWidth="1"/>
    <col min="15621" max="15621" width="12.5703125" style="1" bestFit="1" customWidth="1"/>
    <col min="15622" max="15622" width="6.28515625" style="1" bestFit="1" customWidth="1"/>
    <col min="15623" max="15623" width="8.85546875" style="1" bestFit="1" customWidth="1"/>
    <col min="15624" max="15624" width="14.140625" style="1" bestFit="1" customWidth="1"/>
    <col min="15625" max="15625" width="10.140625" style="1" bestFit="1" customWidth="1"/>
    <col min="15626" max="15626" width="15.140625" style="1" customWidth="1"/>
    <col min="15627" max="15627" width="14.7109375" style="1" customWidth="1"/>
    <col min="15628" max="15628" width="12.5703125" style="1" bestFit="1" customWidth="1"/>
    <col min="15629" max="15629" width="6" style="1" bestFit="1" customWidth="1"/>
    <col min="15630" max="15630" width="8.7109375" style="1" bestFit="1" customWidth="1"/>
    <col min="15631" max="15872" width="14.7109375" style="1"/>
    <col min="15873" max="15873" width="5.140625" style="1" bestFit="1" customWidth="1"/>
    <col min="15874" max="15874" width="10.7109375" style="1" bestFit="1" customWidth="1"/>
    <col min="15875" max="15875" width="8.7109375" style="1" bestFit="1" customWidth="1"/>
    <col min="15876" max="15876" width="13.28515625" style="1" bestFit="1" customWidth="1"/>
    <col min="15877" max="15877" width="12.5703125" style="1" bestFit="1" customWidth="1"/>
    <col min="15878" max="15878" width="6.28515625" style="1" bestFit="1" customWidth="1"/>
    <col min="15879" max="15879" width="8.85546875" style="1" bestFit="1" customWidth="1"/>
    <col min="15880" max="15880" width="14.140625" style="1" bestFit="1" customWidth="1"/>
    <col min="15881" max="15881" width="10.140625" style="1" bestFit="1" customWidth="1"/>
    <col min="15882" max="15882" width="15.140625" style="1" customWidth="1"/>
    <col min="15883" max="15883" width="14.7109375" style="1" customWidth="1"/>
    <col min="15884" max="15884" width="12.5703125" style="1" bestFit="1" customWidth="1"/>
    <col min="15885" max="15885" width="6" style="1" bestFit="1" customWidth="1"/>
    <col min="15886" max="15886" width="8.7109375" style="1" bestFit="1" customWidth="1"/>
    <col min="15887" max="16128" width="14.7109375" style="1"/>
    <col min="16129" max="16129" width="5.140625" style="1" bestFit="1" customWidth="1"/>
    <col min="16130" max="16130" width="10.7109375" style="1" bestFit="1" customWidth="1"/>
    <col min="16131" max="16131" width="8.7109375" style="1" bestFit="1" customWidth="1"/>
    <col min="16132" max="16132" width="13.28515625" style="1" bestFit="1" customWidth="1"/>
    <col min="16133" max="16133" width="12.5703125" style="1" bestFit="1" customWidth="1"/>
    <col min="16134" max="16134" width="6.28515625" style="1" bestFit="1" customWidth="1"/>
    <col min="16135" max="16135" width="8.85546875" style="1" bestFit="1" customWidth="1"/>
    <col min="16136" max="16136" width="14.140625" style="1" bestFit="1" customWidth="1"/>
    <col min="16137" max="16137" width="10.140625" style="1" bestFit="1" customWidth="1"/>
    <col min="16138" max="16138" width="15.140625" style="1" customWidth="1"/>
    <col min="16139" max="16139" width="14.7109375" style="1" customWidth="1"/>
    <col min="16140" max="16140" width="12.5703125" style="1" bestFit="1" customWidth="1"/>
    <col min="16141" max="16141" width="6" style="1" bestFit="1" customWidth="1"/>
    <col min="16142" max="16142" width="8.7109375" style="1" bestFit="1" customWidth="1"/>
    <col min="16143" max="16384" width="14.7109375" style="1"/>
  </cols>
  <sheetData>
    <row r="1" spans="1:19">
      <c r="A1" s="57" t="s">
        <v>259</v>
      </c>
      <c r="B1" s="57"/>
      <c r="C1" s="57"/>
      <c r="D1" s="57"/>
      <c r="E1" s="57"/>
      <c r="F1" s="57"/>
      <c r="G1" s="57"/>
      <c r="H1" s="57"/>
      <c r="I1" s="57"/>
      <c r="K1" s="46" t="s">
        <v>260</v>
      </c>
      <c r="L1" s="46"/>
      <c r="M1" s="46"/>
      <c r="N1" s="46"/>
      <c r="P1" s="54"/>
      <c r="Q1" s="54"/>
      <c r="R1" s="55"/>
      <c r="S1" s="56" t="s">
        <v>146</v>
      </c>
    </row>
    <row r="2" spans="1:19" ht="9.75" customHeight="1">
      <c r="A2" s="24"/>
      <c r="B2" s="24"/>
      <c r="C2" s="24"/>
      <c r="D2" s="24"/>
      <c r="E2" s="24"/>
      <c r="G2" s="24"/>
      <c r="H2" s="24"/>
      <c r="K2" s="14"/>
      <c r="L2" s="14"/>
      <c r="M2" s="14"/>
      <c r="N2" s="14"/>
    </row>
    <row r="3" spans="1:19" ht="33.75" customHeight="1">
      <c r="A3" s="50" t="s">
        <v>261</v>
      </c>
      <c r="B3" s="50" t="s">
        <v>262</v>
      </c>
      <c r="C3" s="51" t="s">
        <v>263</v>
      </c>
      <c r="D3" s="52" t="s">
        <v>48</v>
      </c>
      <c r="E3" s="52" t="s">
        <v>183</v>
      </c>
      <c r="F3" s="52" t="s">
        <v>12</v>
      </c>
      <c r="G3" s="53" t="s">
        <v>264</v>
      </c>
      <c r="H3" s="53" t="s">
        <v>265</v>
      </c>
      <c r="I3" s="52" t="s">
        <v>266</v>
      </c>
      <c r="J3" s="1"/>
      <c r="K3" s="31" t="s">
        <v>48</v>
      </c>
      <c r="L3" s="32" t="s">
        <v>183</v>
      </c>
      <c r="M3" s="32" t="s">
        <v>12</v>
      </c>
      <c r="N3" s="33" t="s">
        <v>264</v>
      </c>
      <c r="P3" s="34">
        <v>1</v>
      </c>
      <c r="Q3" s="35"/>
      <c r="R3" s="35"/>
      <c r="S3" s="17">
        <f>COUNTA(K4:K19)</f>
        <v>16</v>
      </c>
    </row>
    <row r="4" spans="1:19">
      <c r="A4" s="22" t="str">
        <f>TEXT(B4,"DDD")</f>
        <v>Tue</v>
      </c>
      <c r="B4" s="23">
        <v>44544</v>
      </c>
      <c r="C4" s="24">
        <v>32181</v>
      </c>
      <c r="D4" s="25" t="s">
        <v>267</v>
      </c>
      <c r="E4" s="26" t="s">
        <v>94</v>
      </c>
      <c r="F4" s="24">
        <v>5</v>
      </c>
      <c r="G4" s="27">
        <v>35</v>
      </c>
      <c r="H4" s="28">
        <v>7.5</v>
      </c>
      <c r="I4" s="28">
        <v>0</v>
      </c>
      <c r="J4" s="36"/>
      <c r="K4" s="37" t="s">
        <v>268</v>
      </c>
      <c r="L4" s="38" t="s">
        <v>269</v>
      </c>
      <c r="M4" s="38">
        <v>8</v>
      </c>
      <c r="N4" s="38">
        <v>35</v>
      </c>
      <c r="P4" s="34">
        <v>2</v>
      </c>
      <c r="Q4" s="168" t="s">
        <v>94</v>
      </c>
      <c r="R4" s="35"/>
      <c r="S4" s="17">
        <f>COUNTIF(L:L,Q4)</f>
        <v>5</v>
      </c>
    </row>
    <row r="5" spans="1:19">
      <c r="A5" s="22" t="str">
        <f t="shared" ref="A5:A68" si="0">TEXT(B5,"DDD")</f>
        <v>Tue</v>
      </c>
      <c r="B5" s="23">
        <v>44544</v>
      </c>
      <c r="C5" s="29">
        <v>18804</v>
      </c>
      <c r="D5" s="25" t="s">
        <v>270</v>
      </c>
      <c r="E5" s="26" t="s">
        <v>271</v>
      </c>
      <c r="F5" s="24">
        <v>9</v>
      </c>
      <c r="G5" s="27">
        <v>36.5</v>
      </c>
      <c r="H5" s="28">
        <v>8</v>
      </c>
      <c r="I5" s="28">
        <v>0</v>
      </c>
      <c r="J5" s="36"/>
      <c r="K5" s="37" t="s">
        <v>267</v>
      </c>
      <c r="L5" s="38" t="s">
        <v>94</v>
      </c>
      <c r="M5" s="38">
        <v>5</v>
      </c>
      <c r="N5" s="38">
        <v>35</v>
      </c>
      <c r="P5" s="34">
        <v>3</v>
      </c>
      <c r="Q5" s="35">
        <v>8</v>
      </c>
      <c r="R5" s="35"/>
      <c r="S5" s="17">
        <f>COUNTIF(M:M,Q5)</f>
        <v>3</v>
      </c>
    </row>
    <row r="6" spans="1:19">
      <c r="A6" s="22" t="str">
        <f t="shared" si="0"/>
        <v>Tue</v>
      </c>
      <c r="B6" s="23">
        <v>44544</v>
      </c>
      <c r="C6" s="29">
        <v>16696</v>
      </c>
      <c r="D6" s="25" t="s">
        <v>272</v>
      </c>
      <c r="E6" s="26" t="s">
        <v>273</v>
      </c>
      <c r="F6" s="24">
        <v>10</v>
      </c>
      <c r="G6" s="27">
        <v>40</v>
      </c>
      <c r="H6" s="28">
        <v>7.5</v>
      </c>
      <c r="I6" s="28">
        <v>0.5</v>
      </c>
      <c r="J6" s="36"/>
      <c r="K6" s="37" t="s">
        <v>270</v>
      </c>
      <c r="L6" s="38" t="s">
        <v>271</v>
      </c>
      <c r="M6" s="38">
        <v>9</v>
      </c>
      <c r="N6" s="38">
        <v>36.5</v>
      </c>
      <c r="P6" s="34">
        <v>4</v>
      </c>
      <c r="Q6" s="168" t="s">
        <v>274</v>
      </c>
      <c r="R6" s="35"/>
      <c r="S6" s="17">
        <f>COUNTIF(M:M,Q6)</f>
        <v>7</v>
      </c>
    </row>
    <row r="7" spans="1:19">
      <c r="A7" s="22" t="str">
        <f t="shared" si="0"/>
        <v>Tue</v>
      </c>
      <c r="B7" s="23">
        <v>44544</v>
      </c>
      <c r="C7" s="24">
        <v>18809</v>
      </c>
      <c r="D7" s="25" t="s">
        <v>275</v>
      </c>
      <c r="E7" s="26" t="s">
        <v>211</v>
      </c>
      <c r="F7" s="24">
        <v>5</v>
      </c>
      <c r="G7" s="27">
        <v>35</v>
      </c>
      <c r="H7" s="28">
        <v>8.5</v>
      </c>
      <c r="I7" s="28">
        <v>1</v>
      </c>
      <c r="J7" s="36"/>
      <c r="K7" s="37" t="s">
        <v>272</v>
      </c>
      <c r="L7" s="38" t="s">
        <v>273</v>
      </c>
      <c r="M7" s="38">
        <v>10</v>
      </c>
      <c r="N7" s="38">
        <v>40</v>
      </c>
      <c r="P7" s="34">
        <v>5</v>
      </c>
      <c r="Q7" s="168" t="s">
        <v>276</v>
      </c>
      <c r="R7" s="35"/>
      <c r="S7" s="17">
        <f>COUNTIF(I:I,Q7)</f>
        <v>27</v>
      </c>
    </row>
    <row r="8" spans="1:19">
      <c r="A8" s="22" t="str">
        <f t="shared" si="0"/>
        <v>Tue</v>
      </c>
      <c r="B8" s="23">
        <v>44544</v>
      </c>
      <c r="C8" s="24">
        <v>32164</v>
      </c>
      <c r="D8" s="25" t="s">
        <v>277</v>
      </c>
      <c r="E8" s="26" t="s">
        <v>278</v>
      </c>
      <c r="F8" s="24">
        <v>5</v>
      </c>
      <c r="G8" s="27">
        <v>40</v>
      </c>
      <c r="H8" s="28">
        <v>8</v>
      </c>
      <c r="I8" s="28">
        <v>1</v>
      </c>
      <c r="J8" s="36"/>
      <c r="K8" s="37" t="s">
        <v>275</v>
      </c>
      <c r="L8" s="38" t="s">
        <v>211</v>
      </c>
      <c r="M8" s="38">
        <v>5</v>
      </c>
      <c r="N8" s="38">
        <v>35</v>
      </c>
      <c r="P8" s="34">
        <v>6</v>
      </c>
      <c r="Q8" s="168" t="s">
        <v>279</v>
      </c>
      <c r="R8" s="168" t="s">
        <v>276</v>
      </c>
      <c r="S8" s="17">
        <f>COUNTIFS(F:F,Q8,I:I,R8)</f>
        <v>14</v>
      </c>
    </row>
    <row r="9" spans="1:19">
      <c r="A9" s="22" t="str">
        <f t="shared" si="0"/>
        <v>Tue</v>
      </c>
      <c r="B9" s="23">
        <v>44544</v>
      </c>
      <c r="C9" s="24">
        <v>18708</v>
      </c>
      <c r="D9" s="25" t="s">
        <v>280</v>
      </c>
      <c r="E9" s="26" t="s">
        <v>94</v>
      </c>
      <c r="F9" s="24">
        <v>3</v>
      </c>
      <c r="G9" s="27">
        <v>41.5</v>
      </c>
      <c r="H9" s="28">
        <v>8.5</v>
      </c>
      <c r="I9" s="28">
        <v>0</v>
      </c>
      <c r="J9" s="36"/>
      <c r="K9" s="37" t="s">
        <v>277</v>
      </c>
      <c r="L9" s="38" t="s">
        <v>278</v>
      </c>
      <c r="M9" s="38">
        <v>5</v>
      </c>
      <c r="N9" s="38">
        <v>40</v>
      </c>
      <c r="P9" s="34">
        <v>7</v>
      </c>
      <c r="Q9" s="168" t="s">
        <v>94</v>
      </c>
      <c r="R9" s="168" t="s">
        <v>276</v>
      </c>
      <c r="S9" s="17">
        <f>COUNTIFS(E:E,Q9,I:I,R9)</f>
        <v>8</v>
      </c>
    </row>
    <row r="10" spans="1:19">
      <c r="A10" s="22" t="str">
        <f t="shared" si="0"/>
        <v>Tue</v>
      </c>
      <c r="B10" s="23">
        <v>44544</v>
      </c>
      <c r="C10" s="29">
        <v>24107</v>
      </c>
      <c r="D10" s="25" t="s">
        <v>281</v>
      </c>
      <c r="E10" s="26" t="s">
        <v>271</v>
      </c>
      <c r="F10" s="24">
        <v>10</v>
      </c>
      <c r="G10" s="27">
        <v>38</v>
      </c>
      <c r="H10" s="28">
        <v>8</v>
      </c>
      <c r="I10" s="28">
        <v>1</v>
      </c>
      <c r="J10" s="36"/>
      <c r="K10" s="37" t="s">
        <v>280</v>
      </c>
      <c r="L10" s="38" t="s">
        <v>94</v>
      </c>
      <c r="M10" s="38">
        <v>3</v>
      </c>
      <c r="N10" s="38">
        <v>41.5</v>
      </c>
      <c r="P10" s="34">
        <v>8</v>
      </c>
      <c r="Q10" s="168" t="s">
        <v>282</v>
      </c>
      <c r="R10" s="168" t="s">
        <v>276</v>
      </c>
      <c r="S10" s="17">
        <f>COUNTIFS(A:A,Q10,I:I,R10)</f>
        <v>4</v>
      </c>
    </row>
    <row r="11" spans="1:19">
      <c r="A11" s="22" t="str">
        <f t="shared" si="0"/>
        <v>Tue</v>
      </c>
      <c r="B11" s="23">
        <v>44544</v>
      </c>
      <c r="C11" s="24">
        <v>43459</v>
      </c>
      <c r="D11" s="25" t="s">
        <v>283</v>
      </c>
      <c r="E11" s="26" t="s">
        <v>269</v>
      </c>
      <c r="F11" s="24">
        <v>8</v>
      </c>
      <c r="G11" s="27">
        <v>32</v>
      </c>
      <c r="H11" s="28">
        <v>8.5</v>
      </c>
      <c r="I11" s="28">
        <v>0.75</v>
      </c>
      <c r="J11" s="36"/>
      <c r="K11" s="37" t="s">
        <v>284</v>
      </c>
      <c r="L11" s="38" t="s">
        <v>271</v>
      </c>
      <c r="M11" s="38">
        <v>10</v>
      </c>
      <c r="N11" s="38">
        <v>38</v>
      </c>
      <c r="P11" s="34">
        <v>9</v>
      </c>
      <c r="Q11" s="35"/>
      <c r="R11" s="35"/>
      <c r="S11" s="169">
        <f>SUM(H:H)</f>
        <v>480.74999999999994</v>
      </c>
    </row>
    <row r="12" spans="1:19">
      <c r="A12" s="22" t="str">
        <f t="shared" si="0"/>
        <v>Tue</v>
      </c>
      <c r="B12" s="23">
        <v>44544</v>
      </c>
      <c r="C12" s="29">
        <v>33347</v>
      </c>
      <c r="D12" s="25" t="s">
        <v>281</v>
      </c>
      <c r="E12" s="26" t="s">
        <v>271</v>
      </c>
      <c r="F12" s="24">
        <v>9</v>
      </c>
      <c r="G12" s="27">
        <v>38</v>
      </c>
      <c r="H12" s="28">
        <v>8.5</v>
      </c>
      <c r="I12" s="28">
        <v>0.5</v>
      </c>
      <c r="J12" s="36"/>
      <c r="K12" s="37" t="s">
        <v>283</v>
      </c>
      <c r="L12" s="38" t="s">
        <v>269</v>
      </c>
      <c r="M12" s="38">
        <v>8</v>
      </c>
      <c r="N12" s="38">
        <v>32</v>
      </c>
      <c r="P12" s="34">
        <v>10</v>
      </c>
      <c r="Q12" s="35"/>
      <c r="R12" s="35"/>
      <c r="S12" s="169">
        <f>SUM(I:I)</f>
        <v>30.5</v>
      </c>
    </row>
    <row r="13" spans="1:19">
      <c r="A13" s="22" t="str">
        <f t="shared" si="0"/>
        <v>Tue</v>
      </c>
      <c r="B13" s="23">
        <v>44544</v>
      </c>
      <c r="C13" s="24">
        <v>32215</v>
      </c>
      <c r="D13" s="25" t="s">
        <v>285</v>
      </c>
      <c r="E13" s="26" t="s">
        <v>286</v>
      </c>
      <c r="F13" s="24">
        <v>7</v>
      </c>
      <c r="G13" s="27">
        <v>39.5</v>
      </c>
      <c r="H13" s="28">
        <v>9.75</v>
      </c>
      <c r="I13" s="28">
        <v>2.25</v>
      </c>
      <c r="J13" s="36"/>
      <c r="K13" s="37" t="s">
        <v>281</v>
      </c>
      <c r="L13" s="38" t="s">
        <v>271</v>
      </c>
      <c r="M13" s="38">
        <v>9</v>
      </c>
      <c r="N13" s="38">
        <v>38</v>
      </c>
      <c r="P13" s="34">
        <v>11</v>
      </c>
      <c r="Q13" s="35"/>
      <c r="R13" s="35"/>
      <c r="S13" s="169">
        <f>SUM(H:I)</f>
        <v>511.25</v>
      </c>
    </row>
    <row r="14" spans="1:19">
      <c r="A14" s="22" t="str">
        <f t="shared" si="0"/>
        <v>Tue</v>
      </c>
      <c r="B14" s="23">
        <v>44544</v>
      </c>
      <c r="C14" s="24">
        <v>16579</v>
      </c>
      <c r="D14" s="25" t="s">
        <v>287</v>
      </c>
      <c r="E14" s="26" t="s">
        <v>94</v>
      </c>
      <c r="F14" s="24">
        <v>4</v>
      </c>
      <c r="G14" s="27">
        <v>39</v>
      </c>
      <c r="H14" s="28">
        <v>5</v>
      </c>
      <c r="I14" s="28">
        <v>1</v>
      </c>
      <c r="J14" s="36"/>
      <c r="K14" s="37" t="s">
        <v>285</v>
      </c>
      <c r="L14" s="38" t="s">
        <v>286</v>
      </c>
      <c r="M14" s="38">
        <v>7</v>
      </c>
      <c r="N14" s="38">
        <v>39.5</v>
      </c>
      <c r="P14" s="34">
        <v>12</v>
      </c>
      <c r="Q14" s="168" t="s">
        <v>288</v>
      </c>
      <c r="R14" s="35"/>
      <c r="S14" s="169">
        <f>SUMIF(A:A,Q14,I:I)</f>
        <v>6.75</v>
      </c>
    </row>
    <row r="15" spans="1:19">
      <c r="A15" s="22" t="str">
        <f t="shared" si="0"/>
        <v>Tue</v>
      </c>
      <c r="B15" s="23">
        <v>44544</v>
      </c>
      <c r="C15" s="24">
        <v>29743</v>
      </c>
      <c r="D15" s="25" t="s">
        <v>289</v>
      </c>
      <c r="E15" s="26" t="s">
        <v>273</v>
      </c>
      <c r="F15" s="24">
        <v>9</v>
      </c>
      <c r="G15" s="27">
        <v>39</v>
      </c>
      <c r="H15" s="28">
        <v>6.5</v>
      </c>
      <c r="I15" s="28">
        <v>1</v>
      </c>
      <c r="J15" s="36"/>
      <c r="K15" s="37" t="s">
        <v>287</v>
      </c>
      <c r="L15" s="38" t="s">
        <v>94</v>
      </c>
      <c r="M15" s="38">
        <v>4</v>
      </c>
      <c r="N15" s="38">
        <v>39</v>
      </c>
      <c r="P15" s="34">
        <v>13</v>
      </c>
      <c r="Q15" s="168" t="s">
        <v>271</v>
      </c>
      <c r="R15" s="35"/>
      <c r="S15" s="169">
        <f>SUMIF(E:E,Q15,H:H)</f>
        <v>113.5</v>
      </c>
    </row>
    <row r="16" spans="1:19">
      <c r="A16" s="22" t="str">
        <f t="shared" si="0"/>
        <v>Tue</v>
      </c>
      <c r="B16" s="23">
        <v>44544</v>
      </c>
      <c r="C16" s="24">
        <v>34242</v>
      </c>
      <c r="D16" s="25" t="s">
        <v>290</v>
      </c>
      <c r="E16" s="26" t="s">
        <v>94</v>
      </c>
      <c r="F16" s="24">
        <v>5</v>
      </c>
      <c r="G16" s="27">
        <v>36</v>
      </c>
      <c r="H16" s="28">
        <v>6</v>
      </c>
      <c r="I16" s="28">
        <v>0.25</v>
      </c>
      <c r="J16" s="36"/>
      <c r="K16" s="37" t="s">
        <v>289</v>
      </c>
      <c r="L16" s="38" t="s">
        <v>273</v>
      </c>
      <c r="M16" s="38">
        <v>9</v>
      </c>
      <c r="N16" s="38">
        <v>39</v>
      </c>
      <c r="P16" s="34">
        <v>14</v>
      </c>
      <c r="Q16" s="168" t="s">
        <v>291</v>
      </c>
      <c r="R16" s="35"/>
      <c r="S16" s="169">
        <f>SUMIF(D:D,Q16,I:I)</f>
        <v>1.5</v>
      </c>
    </row>
    <row r="17" spans="1:19">
      <c r="A17" s="22" t="str">
        <f t="shared" si="0"/>
        <v>Tue</v>
      </c>
      <c r="B17" s="23">
        <v>44544</v>
      </c>
      <c r="C17" s="24">
        <v>42174</v>
      </c>
      <c r="D17" s="25" t="s">
        <v>292</v>
      </c>
      <c r="E17" s="26" t="s">
        <v>269</v>
      </c>
      <c r="F17" s="24">
        <v>8</v>
      </c>
      <c r="G17" s="27">
        <v>40</v>
      </c>
      <c r="H17" s="28">
        <v>8</v>
      </c>
      <c r="I17" s="28">
        <v>0</v>
      </c>
      <c r="J17" s="36"/>
      <c r="K17" s="37" t="s">
        <v>290</v>
      </c>
      <c r="L17" s="38" t="s">
        <v>94</v>
      </c>
      <c r="M17" s="38">
        <v>5</v>
      </c>
      <c r="N17" s="38">
        <v>36</v>
      </c>
      <c r="P17" s="34">
        <v>15</v>
      </c>
      <c r="Q17" s="168" t="s">
        <v>271</v>
      </c>
      <c r="R17" s="35">
        <v>38</v>
      </c>
      <c r="S17" s="169">
        <f>SUMIFS(I:I,E:E,Q17,G:G,R17)</f>
        <v>2</v>
      </c>
    </row>
    <row r="18" spans="1:19">
      <c r="A18" s="22" t="str">
        <f t="shared" si="0"/>
        <v>Tue</v>
      </c>
      <c r="B18" s="23">
        <v>44544</v>
      </c>
      <c r="C18" s="24">
        <v>32183</v>
      </c>
      <c r="D18" s="25" t="s">
        <v>293</v>
      </c>
      <c r="E18" s="26" t="s">
        <v>94</v>
      </c>
      <c r="F18" s="24">
        <v>5</v>
      </c>
      <c r="G18" s="27">
        <v>34.75</v>
      </c>
      <c r="H18" s="28">
        <v>8</v>
      </c>
      <c r="I18" s="28">
        <v>0.75</v>
      </c>
      <c r="J18" s="36"/>
      <c r="K18" s="37" t="s">
        <v>292</v>
      </c>
      <c r="L18" s="38" t="s">
        <v>269</v>
      </c>
      <c r="M18" s="38">
        <v>8</v>
      </c>
      <c r="N18" s="38">
        <v>40</v>
      </c>
      <c r="P18" s="34">
        <v>16</v>
      </c>
      <c r="Q18" s="168" t="s">
        <v>294</v>
      </c>
      <c r="R18" s="168" t="s">
        <v>273</v>
      </c>
      <c r="S18" s="169">
        <f>SUMIFS(I:I,F:F,Q18,E:E,R18)</f>
        <v>2.5</v>
      </c>
    </row>
    <row r="19" spans="1:19">
      <c r="A19" s="22" t="str">
        <f t="shared" si="0"/>
        <v>Wed</v>
      </c>
      <c r="B19" s="23">
        <v>44545</v>
      </c>
      <c r="C19" s="24">
        <v>20186</v>
      </c>
      <c r="D19" s="25" t="s">
        <v>268</v>
      </c>
      <c r="E19" s="26" t="s">
        <v>269</v>
      </c>
      <c r="F19" s="24">
        <v>8</v>
      </c>
      <c r="G19" s="27">
        <v>35</v>
      </c>
      <c r="H19" s="28">
        <v>6</v>
      </c>
      <c r="I19" s="28">
        <v>0</v>
      </c>
      <c r="J19" s="36"/>
      <c r="K19" s="37" t="s">
        <v>293</v>
      </c>
      <c r="L19" s="38" t="s">
        <v>94</v>
      </c>
      <c r="M19" s="38">
        <v>5</v>
      </c>
      <c r="N19" s="38">
        <v>34.75</v>
      </c>
      <c r="P19" s="34">
        <v>17</v>
      </c>
      <c r="R19" s="35"/>
      <c r="S19" s="169">
        <f>AVERAGE(H4:H71)</f>
        <v>7.0698529411764701</v>
      </c>
    </row>
    <row r="20" spans="1:19">
      <c r="A20" s="22" t="str">
        <f t="shared" si="0"/>
        <v>Wed</v>
      </c>
      <c r="B20" s="23">
        <v>44545</v>
      </c>
      <c r="C20" s="24">
        <v>33626</v>
      </c>
      <c r="D20" s="25" t="s">
        <v>267</v>
      </c>
      <c r="E20" s="26" t="s">
        <v>94</v>
      </c>
      <c r="F20" s="24">
        <v>5</v>
      </c>
      <c r="G20" s="27">
        <v>35</v>
      </c>
      <c r="H20" s="28">
        <v>6.5</v>
      </c>
      <c r="I20" s="28">
        <v>2</v>
      </c>
      <c r="J20" s="36"/>
      <c r="P20" s="34">
        <v>18</v>
      </c>
      <c r="Q20" s="168" t="s">
        <v>295</v>
      </c>
      <c r="R20" s="35"/>
      <c r="S20" s="169">
        <f>AVERAGEIF(G:G,Q20,H:H)</f>
        <v>7.0657894736842106</v>
      </c>
    </row>
    <row r="21" spans="1:19">
      <c r="A21" s="22" t="str">
        <f t="shared" si="0"/>
        <v>Wed</v>
      </c>
      <c r="B21" s="23">
        <v>44545</v>
      </c>
      <c r="C21" s="29">
        <v>18711</v>
      </c>
      <c r="D21" s="25" t="s">
        <v>270</v>
      </c>
      <c r="E21" s="26" t="s">
        <v>271</v>
      </c>
      <c r="F21" s="24">
        <v>9</v>
      </c>
      <c r="G21" s="27">
        <v>36.5</v>
      </c>
      <c r="H21" s="28">
        <v>7.416666666666667</v>
      </c>
      <c r="I21" s="28">
        <v>0</v>
      </c>
      <c r="J21" s="36"/>
      <c r="K21" s="39"/>
      <c r="L21" s="40"/>
      <c r="P21" s="34">
        <v>19</v>
      </c>
      <c r="Q21" s="168" t="s">
        <v>296</v>
      </c>
      <c r="R21" s="35"/>
      <c r="S21" s="169">
        <f>AVERAGEIF(F:F,Q21,I:I)</f>
        <v>0.20833333333333334</v>
      </c>
    </row>
    <row r="22" spans="1:19">
      <c r="A22" s="22" t="str">
        <f t="shared" si="0"/>
        <v>Wed</v>
      </c>
      <c r="B22" s="23">
        <v>44545</v>
      </c>
      <c r="C22" s="29">
        <v>18804</v>
      </c>
      <c r="D22" s="25" t="s">
        <v>272</v>
      </c>
      <c r="E22" s="26" t="s">
        <v>273</v>
      </c>
      <c r="F22" s="24">
        <v>10</v>
      </c>
      <c r="G22" s="27">
        <v>40</v>
      </c>
      <c r="H22" s="28">
        <v>6.75</v>
      </c>
      <c r="I22" s="28">
        <v>0</v>
      </c>
      <c r="J22" s="36"/>
      <c r="L22" s="40"/>
      <c r="P22" s="41">
        <v>20</v>
      </c>
      <c r="Q22" s="42"/>
      <c r="R22" s="42"/>
      <c r="S22" s="169">
        <f>MODE(G:G)</f>
        <v>35</v>
      </c>
    </row>
    <row r="23" spans="1:19">
      <c r="A23" s="22" t="str">
        <f t="shared" si="0"/>
        <v>Wed</v>
      </c>
      <c r="B23" s="23">
        <v>44545</v>
      </c>
      <c r="C23" s="24">
        <v>43459</v>
      </c>
      <c r="D23" s="25" t="s">
        <v>275</v>
      </c>
      <c r="E23" s="26" t="s">
        <v>211</v>
      </c>
      <c r="F23" s="24">
        <v>5</v>
      </c>
      <c r="G23" s="27">
        <v>35</v>
      </c>
      <c r="H23" s="28">
        <v>7.5000000000000018</v>
      </c>
      <c r="I23" s="28">
        <v>0</v>
      </c>
      <c r="J23" s="36"/>
    </row>
    <row r="24" spans="1:19">
      <c r="A24" s="22" t="str">
        <f t="shared" si="0"/>
        <v>Wed</v>
      </c>
      <c r="B24" s="23">
        <v>44545</v>
      </c>
      <c r="C24" s="24">
        <v>18799</v>
      </c>
      <c r="D24" s="25" t="s">
        <v>277</v>
      </c>
      <c r="E24" s="26" t="s">
        <v>278</v>
      </c>
      <c r="F24" s="24">
        <v>5</v>
      </c>
      <c r="G24" s="27">
        <v>40</v>
      </c>
      <c r="H24" s="28">
        <v>8</v>
      </c>
      <c r="I24" s="28">
        <v>0.25</v>
      </c>
      <c r="J24" s="36"/>
    </row>
    <row r="25" spans="1:19">
      <c r="A25" s="22" t="str">
        <f t="shared" si="0"/>
        <v>Wed</v>
      </c>
      <c r="B25" s="23">
        <v>44545</v>
      </c>
      <c r="C25" s="24">
        <v>18789</v>
      </c>
      <c r="D25" s="25" t="s">
        <v>280</v>
      </c>
      <c r="E25" s="26" t="s">
        <v>94</v>
      </c>
      <c r="F25" s="24">
        <v>3</v>
      </c>
      <c r="G25" s="27">
        <v>41.5</v>
      </c>
      <c r="H25" s="28">
        <v>7.2500000000000009</v>
      </c>
      <c r="I25" s="28">
        <v>0</v>
      </c>
      <c r="J25" s="36"/>
    </row>
    <row r="26" spans="1:19">
      <c r="A26" s="22" t="str">
        <f t="shared" si="0"/>
        <v>Wed</v>
      </c>
      <c r="B26" s="23">
        <v>44545</v>
      </c>
      <c r="C26" s="29">
        <v>24107</v>
      </c>
      <c r="D26" s="25" t="s">
        <v>284</v>
      </c>
      <c r="E26" s="26" t="s">
        <v>271</v>
      </c>
      <c r="F26" s="24">
        <v>10</v>
      </c>
      <c r="G26" s="27">
        <v>38</v>
      </c>
      <c r="H26" s="28">
        <v>7.5</v>
      </c>
      <c r="I26" s="28">
        <v>0</v>
      </c>
      <c r="J26" s="36"/>
      <c r="K26" s="39"/>
    </row>
    <row r="27" spans="1:19">
      <c r="A27" s="22" t="str">
        <f t="shared" si="0"/>
        <v>Wed</v>
      </c>
      <c r="B27" s="23">
        <v>44545</v>
      </c>
      <c r="C27" s="29">
        <v>33347</v>
      </c>
      <c r="D27" s="25" t="s">
        <v>281</v>
      </c>
      <c r="E27" s="26" t="s">
        <v>271</v>
      </c>
      <c r="F27" s="24">
        <v>9</v>
      </c>
      <c r="G27" s="27">
        <v>38</v>
      </c>
      <c r="H27" s="28">
        <v>8</v>
      </c>
      <c r="I27" s="28">
        <v>0.5</v>
      </c>
      <c r="J27" s="36"/>
      <c r="P27" s="35"/>
      <c r="Q27" s="35"/>
      <c r="R27" s="35"/>
    </row>
    <row r="28" spans="1:19">
      <c r="A28" s="22" t="str">
        <f t="shared" si="0"/>
        <v>Wed</v>
      </c>
      <c r="B28" s="23">
        <v>44545</v>
      </c>
      <c r="C28" s="24">
        <v>18781</v>
      </c>
      <c r="D28" s="25" t="s">
        <v>285</v>
      </c>
      <c r="E28" s="26" t="s">
        <v>286</v>
      </c>
      <c r="F28" s="24">
        <v>7</v>
      </c>
      <c r="G28" s="27">
        <v>39.5</v>
      </c>
      <c r="H28" s="28">
        <v>7.5</v>
      </c>
      <c r="I28" s="28">
        <v>0</v>
      </c>
      <c r="J28" s="36"/>
    </row>
    <row r="29" spans="1:19">
      <c r="A29" s="22" t="str">
        <f t="shared" si="0"/>
        <v>Wed</v>
      </c>
      <c r="B29" s="23">
        <v>44545</v>
      </c>
      <c r="C29" s="24">
        <v>32502</v>
      </c>
      <c r="D29" s="25" t="s">
        <v>287</v>
      </c>
      <c r="E29" s="26" t="s">
        <v>94</v>
      </c>
      <c r="F29" s="24">
        <v>4</v>
      </c>
      <c r="G29" s="27">
        <v>39</v>
      </c>
      <c r="H29" s="28">
        <v>7.5</v>
      </c>
      <c r="I29" s="28">
        <v>0</v>
      </c>
      <c r="J29" s="36"/>
      <c r="K29" s="39"/>
    </row>
    <row r="30" spans="1:19">
      <c r="A30" s="22" t="str">
        <f t="shared" si="0"/>
        <v>Wed</v>
      </c>
      <c r="B30" s="23">
        <v>44545</v>
      </c>
      <c r="C30" s="24">
        <v>18768</v>
      </c>
      <c r="D30" s="25" t="s">
        <v>289</v>
      </c>
      <c r="E30" s="26" t="s">
        <v>273</v>
      </c>
      <c r="F30" s="24">
        <v>9</v>
      </c>
      <c r="G30" s="27">
        <v>39</v>
      </c>
      <c r="H30" s="28">
        <v>6.5</v>
      </c>
      <c r="I30" s="28">
        <v>0</v>
      </c>
      <c r="J30" s="36"/>
    </row>
    <row r="31" spans="1:19">
      <c r="A31" s="22" t="str">
        <f t="shared" si="0"/>
        <v>Wed</v>
      </c>
      <c r="B31" s="23">
        <v>44545</v>
      </c>
      <c r="C31" s="24">
        <v>16579</v>
      </c>
      <c r="D31" s="25" t="s">
        <v>290</v>
      </c>
      <c r="E31" s="26" t="s">
        <v>94</v>
      </c>
      <c r="F31" s="24">
        <v>5</v>
      </c>
      <c r="G31" s="27">
        <v>36</v>
      </c>
      <c r="H31" s="28">
        <v>6</v>
      </c>
      <c r="I31" s="28">
        <v>0.25</v>
      </c>
      <c r="J31" s="36"/>
    </row>
    <row r="32" spans="1:19">
      <c r="A32" s="22" t="str">
        <f t="shared" si="0"/>
        <v>Wed</v>
      </c>
      <c r="B32" s="23">
        <v>44545</v>
      </c>
      <c r="C32" s="24">
        <v>18797</v>
      </c>
      <c r="D32" s="25" t="s">
        <v>293</v>
      </c>
      <c r="E32" s="26" t="s">
        <v>94</v>
      </c>
      <c r="F32" s="24">
        <v>5</v>
      </c>
      <c r="G32" s="27">
        <v>34.75</v>
      </c>
      <c r="H32" s="28">
        <v>7</v>
      </c>
      <c r="I32" s="28">
        <v>0</v>
      </c>
      <c r="J32" s="36"/>
    </row>
    <row r="33" spans="1:26">
      <c r="A33" s="22" t="str">
        <f t="shared" si="0"/>
        <v>Thu</v>
      </c>
      <c r="B33" s="23">
        <v>44546</v>
      </c>
      <c r="C33" s="24">
        <v>34183</v>
      </c>
      <c r="D33" s="25" t="s">
        <v>268</v>
      </c>
      <c r="E33" s="26" t="s">
        <v>269</v>
      </c>
      <c r="F33" s="24">
        <v>8</v>
      </c>
      <c r="G33" s="27">
        <v>35</v>
      </c>
      <c r="H33" s="28">
        <v>10.5</v>
      </c>
      <c r="I33" s="28">
        <v>3.5</v>
      </c>
      <c r="J33" s="36"/>
    </row>
    <row r="34" spans="1:26">
      <c r="A34" s="22" t="str">
        <f t="shared" si="0"/>
        <v>Thu</v>
      </c>
      <c r="B34" s="23">
        <v>44546</v>
      </c>
      <c r="C34" s="24">
        <v>18784</v>
      </c>
      <c r="D34" s="25" t="s">
        <v>267</v>
      </c>
      <c r="E34" s="26" t="s">
        <v>94</v>
      </c>
      <c r="F34" s="24">
        <v>5</v>
      </c>
      <c r="G34" s="27">
        <v>35</v>
      </c>
      <c r="H34" s="28">
        <v>7.4999999999999982</v>
      </c>
      <c r="I34" s="28">
        <v>0</v>
      </c>
      <c r="J34" s="36"/>
    </row>
    <row r="35" spans="1:26">
      <c r="A35" s="22" t="str">
        <f t="shared" si="0"/>
        <v>Thu</v>
      </c>
      <c r="B35" s="23">
        <v>44546</v>
      </c>
      <c r="C35" s="29">
        <v>18711</v>
      </c>
      <c r="D35" s="25" t="s">
        <v>270</v>
      </c>
      <c r="E35" s="26" t="s">
        <v>271</v>
      </c>
      <c r="F35" s="24">
        <v>9</v>
      </c>
      <c r="G35" s="27">
        <v>36.5</v>
      </c>
      <c r="H35" s="28">
        <v>7.3333333333333339</v>
      </c>
      <c r="I35" s="28">
        <v>0</v>
      </c>
      <c r="J35" s="36"/>
      <c r="K35" s="39"/>
    </row>
    <row r="36" spans="1:26">
      <c r="A36" s="22" t="str">
        <f t="shared" si="0"/>
        <v>Thu</v>
      </c>
      <c r="B36" s="23">
        <v>44546</v>
      </c>
      <c r="C36" s="24">
        <v>18804</v>
      </c>
      <c r="D36" s="25" t="s">
        <v>272</v>
      </c>
      <c r="E36" s="26" t="s">
        <v>273</v>
      </c>
      <c r="F36" s="24">
        <v>10</v>
      </c>
      <c r="G36" s="27">
        <v>40</v>
      </c>
      <c r="H36" s="28">
        <v>7.1666666666666652</v>
      </c>
      <c r="I36" s="28">
        <v>0</v>
      </c>
      <c r="J36" s="36"/>
    </row>
    <row r="37" spans="1:26">
      <c r="A37" s="22" t="str">
        <f t="shared" si="0"/>
        <v>Thu</v>
      </c>
      <c r="B37" s="23">
        <v>44546</v>
      </c>
      <c r="C37" s="24">
        <v>32183</v>
      </c>
      <c r="D37" s="25" t="s">
        <v>275</v>
      </c>
      <c r="E37" s="26" t="s">
        <v>211</v>
      </c>
      <c r="F37" s="24">
        <v>5</v>
      </c>
      <c r="G37" s="27">
        <v>35</v>
      </c>
      <c r="H37" s="28">
        <v>6.9999999999999991</v>
      </c>
      <c r="I37" s="28">
        <v>0.5</v>
      </c>
      <c r="J37" s="36"/>
    </row>
    <row r="38" spans="1:26">
      <c r="A38" s="22" t="str">
        <f t="shared" si="0"/>
        <v>Thu</v>
      </c>
      <c r="B38" s="23">
        <v>44546</v>
      </c>
      <c r="C38" s="24">
        <v>18809</v>
      </c>
      <c r="D38" s="25" t="s">
        <v>277</v>
      </c>
      <c r="E38" s="26" t="s">
        <v>278</v>
      </c>
      <c r="F38" s="24">
        <v>5</v>
      </c>
      <c r="G38" s="27">
        <v>40</v>
      </c>
      <c r="H38" s="28">
        <v>8</v>
      </c>
      <c r="I38" s="28">
        <v>0.75</v>
      </c>
      <c r="J38" s="36"/>
    </row>
    <row r="39" spans="1:26">
      <c r="A39" s="22" t="str">
        <f t="shared" si="0"/>
        <v>Thu</v>
      </c>
      <c r="B39" s="23">
        <v>44546</v>
      </c>
      <c r="C39" s="24">
        <v>32383</v>
      </c>
      <c r="D39" s="25" t="s">
        <v>280</v>
      </c>
      <c r="E39" s="26" t="s">
        <v>94</v>
      </c>
      <c r="F39" s="24">
        <v>3</v>
      </c>
      <c r="G39" s="27">
        <v>41.5</v>
      </c>
      <c r="H39" s="28">
        <v>5.5833333333333339</v>
      </c>
      <c r="I39" s="28">
        <v>0</v>
      </c>
      <c r="J39" s="36"/>
    </row>
    <row r="40" spans="1:26">
      <c r="A40" s="22" t="str">
        <f t="shared" si="0"/>
        <v>Thu</v>
      </c>
      <c r="B40" s="23">
        <v>44546</v>
      </c>
      <c r="C40" s="29">
        <v>24107</v>
      </c>
      <c r="D40" s="25" t="s">
        <v>284</v>
      </c>
      <c r="E40" s="26" t="s">
        <v>271</v>
      </c>
      <c r="F40" s="24">
        <v>10</v>
      </c>
      <c r="G40" s="27">
        <v>38</v>
      </c>
      <c r="H40" s="28">
        <v>7.5</v>
      </c>
      <c r="I40" s="28">
        <v>0</v>
      </c>
      <c r="J40" s="36"/>
      <c r="K40" s="39"/>
    </row>
    <row r="41" spans="1:26">
      <c r="A41" s="22" t="str">
        <f t="shared" si="0"/>
        <v>Thu</v>
      </c>
      <c r="B41" s="23">
        <v>44546</v>
      </c>
      <c r="C41" s="24">
        <v>33070</v>
      </c>
      <c r="D41" s="25" t="s">
        <v>283</v>
      </c>
      <c r="E41" s="26" t="s">
        <v>269</v>
      </c>
      <c r="F41" s="24">
        <v>8</v>
      </c>
      <c r="G41" s="27">
        <v>32</v>
      </c>
      <c r="H41" s="28">
        <v>4.5</v>
      </c>
      <c r="I41" s="28">
        <v>0</v>
      </c>
      <c r="J41" s="36"/>
    </row>
    <row r="42" spans="1:26">
      <c r="A42" s="22" t="str">
        <f t="shared" si="0"/>
        <v>Thu</v>
      </c>
      <c r="B42" s="23">
        <v>44546</v>
      </c>
      <c r="C42" s="29">
        <v>33347</v>
      </c>
      <c r="D42" s="25" t="s">
        <v>281</v>
      </c>
      <c r="E42" s="26" t="s">
        <v>271</v>
      </c>
      <c r="F42" s="24">
        <v>9</v>
      </c>
      <c r="G42" s="27">
        <v>38</v>
      </c>
      <c r="H42" s="28">
        <v>7.5</v>
      </c>
      <c r="I42" s="28">
        <v>0</v>
      </c>
      <c r="J42" s="36"/>
    </row>
    <row r="43" spans="1:26">
      <c r="A43" s="22" t="str">
        <f t="shared" si="0"/>
        <v>Thu</v>
      </c>
      <c r="B43" s="23">
        <v>44546</v>
      </c>
      <c r="C43" s="24">
        <v>32502</v>
      </c>
      <c r="D43" s="25" t="s">
        <v>290</v>
      </c>
      <c r="E43" s="26" t="s">
        <v>94</v>
      </c>
      <c r="F43" s="24">
        <v>5</v>
      </c>
      <c r="G43" s="27">
        <v>36</v>
      </c>
      <c r="H43" s="28">
        <v>6</v>
      </c>
      <c r="I43" s="28">
        <v>0.25</v>
      </c>
      <c r="J43" s="36"/>
    </row>
    <row r="44" spans="1:26">
      <c r="A44" s="22" t="str">
        <f t="shared" si="0"/>
        <v>Thu</v>
      </c>
      <c r="B44" s="23">
        <v>44546</v>
      </c>
      <c r="C44" s="24">
        <v>18792</v>
      </c>
      <c r="D44" s="25" t="s">
        <v>292</v>
      </c>
      <c r="E44" s="26" t="s">
        <v>269</v>
      </c>
      <c r="F44" s="24">
        <v>8</v>
      </c>
      <c r="G44" s="27">
        <v>40</v>
      </c>
      <c r="H44" s="28">
        <v>8</v>
      </c>
      <c r="I44" s="28">
        <v>0</v>
      </c>
      <c r="J44" s="36"/>
    </row>
    <row r="45" spans="1:26">
      <c r="A45" s="22" t="str">
        <f t="shared" si="0"/>
        <v>Thu</v>
      </c>
      <c r="B45" s="23">
        <v>44546</v>
      </c>
      <c r="C45" s="24">
        <v>29743</v>
      </c>
      <c r="D45" s="25" t="s">
        <v>293</v>
      </c>
      <c r="E45" s="26" t="s">
        <v>94</v>
      </c>
      <c r="F45" s="24">
        <v>5</v>
      </c>
      <c r="G45" s="27">
        <v>34.75</v>
      </c>
      <c r="H45" s="28">
        <v>7.25</v>
      </c>
      <c r="I45" s="28">
        <v>0.5</v>
      </c>
      <c r="J45" s="36"/>
      <c r="K45" s="39"/>
      <c r="Z45" s="43"/>
    </row>
    <row r="46" spans="1:26">
      <c r="A46" s="22" t="str">
        <f t="shared" si="0"/>
        <v>Fri</v>
      </c>
      <c r="B46" s="23">
        <v>44547</v>
      </c>
      <c r="C46" s="24">
        <v>18784</v>
      </c>
      <c r="D46" s="25" t="s">
        <v>268</v>
      </c>
      <c r="E46" s="26" t="s">
        <v>269</v>
      </c>
      <c r="F46" s="24">
        <v>8</v>
      </c>
      <c r="G46" s="27">
        <v>35</v>
      </c>
      <c r="H46" s="28">
        <v>7.4999999999999982</v>
      </c>
      <c r="I46" s="28">
        <v>1.5</v>
      </c>
      <c r="J46" s="36"/>
      <c r="Z46" s="44"/>
    </row>
    <row r="47" spans="1:26">
      <c r="A47" s="22" t="str">
        <f t="shared" si="0"/>
        <v>Fri</v>
      </c>
      <c r="B47" s="23">
        <v>44547</v>
      </c>
      <c r="C47" s="24">
        <v>33558</v>
      </c>
      <c r="D47" s="25" t="s">
        <v>267</v>
      </c>
      <c r="E47" s="26" t="s">
        <v>94</v>
      </c>
      <c r="F47" s="24">
        <v>5</v>
      </c>
      <c r="G47" s="27">
        <v>35</v>
      </c>
      <c r="H47" s="28">
        <v>5.9999999999999982</v>
      </c>
      <c r="I47" s="28">
        <v>0</v>
      </c>
      <c r="J47" s="36"/>
      <c r="Z47" s="44"/>
    </row>
    <row r="48" spans="1:26">
      <c r="A48" s="22" t="str">
        <f t="shared" si="0"/>
        <v>Fri</v>
      </c>
      <c r="B48" s="23">
        <v>44547</v>
      </c>
      <c r="C48" s="24">
        <v>18711</v>
      </c>
      <c r="D48" s="25" t="s">
        <v>270</v>
      </c>
      <c r="E48" s="26" t="s">
        <v>271</v>
      </c>
      <c r="F48" s="24">
        <v>9</v>
      </c>
      <c r="G48" s="27">
        <v>36.5</v>
      </c>
      <c r="H48" s="28">
        <v>7.0833333333333348</v>
      </c>
      <c r="I48" s="28">
        <v>0.5</v>
      </c>
      <c r="J48" s="36"/>
      <c r="Z48" s="44"/>
    </row>
    <row r="49" spans="1:26">
      <c r="A49" s="22" t="str">
        <f t="shared" si="0"/>
        <v>Fri</v>
      </c>
      <c r="B49" s="23">
        <v>44547</v>
      </c>
      <c r="C49" s="24">
        <v>18804</v>
      </c>
      <c r="D49" s="25" t="s">
        <v>272</v>
      </c>
      <c r="E49" s="26" t="s">
        <v>273</v>
      </c>
      <c r="F49" s="24">
        <v>10</v>
      </c>
      <c r="G49" s="27">
        <v>40</v>
      </c>
      <c r="H49" s="28">
        <v>6.75</v>
      </c>
      <c r="I49" s="28">
        <v>0</v>
      </c>
      <c r="J49" s="36"/>
      <c r="K49" s="39"/>
      <c r="Z49" s="44"/>
    </row>
    <row r="50" spans="1:26">
      <c r="A50" s="22" t="str">
        <f t="shared" si="0"/>
        <v>Fri</v>
      </c>
      <c r="B50" s="23">
        <v>44547</v>
      </c>
      <c r="C50" s="24">
        <v>42118</v>
      </c>
      <c r="D50" s="25" t="s">
        <v>280</v>
      </c>
      <c r="E50" s="26" t="s">
        <v>94</v>
      </c>
      <c r="F50" s="24">
        <v>3</v>
      </c>
      <c r="G50" s="27">
        <v>41.5</v>
      </c>
      <c r="H50" s="28">
        <v>5.9166666666666661</v>
      </c>
      <c r="I50" s="28">
        <v>0</v>
      </c>
      <c r="J50" s="36"/>
      <c r="Z50" s="44"/>
    </row>
    <row r="51" spans="1:26">
      <c r="A51" s="22" t="str">
        <f t="shared" si="0"/>
        <v>Fri</v>
      </c>
      <c r="B51" s="23">
        <v>44547</v>
      </c>
      <c r="C51" s="24">
        <v>18763</v>
      </c>
      <c r="D51" s="25" t="s">
        <v>284</v>
      </c>
      <c r="E51" s="26" t="s">
        <v>271</v>
      </c>
      <c r="F51" s="24">
        <v>10</v>
      </c>
      <c r="G51" s="27">
        <v>38</v>
      </c>
      <c r="H51" s="28">
        <v>7.5</v>
      </c>
      <c r="I51" s="28">
        <v>0</v>
      </c>
      <c r="J51" s="36"/>
      <c r="Z51" s="44"/>
    </row>
    <row r="52" spans="1:26">
      <c r="A52" s="22" t="str">
        <f t="shared" si="0"/>
        <v>Fri</v>
      </c>
      <c r="B52" s="23">
        <v>44547</v>
      </c>
      <c r="C52" s="24">
        <v>29743</v>
      </c>
      <c r="D52" s="25" t="s">
        <v>283</v>
      </c>
      <c r="E52" s="26" t="s">
        <v>269</v>
      </c>
      <c r="F52" s="24">
        <v>8</v>
      </c>
      <c r="G52" s="27">
        <v>32</v>
      </c>
      <c r="H52" s="28">
        <v>7</v>
      </c>
      <c r="I52" s="28">
        <v>1.75</v>
      </c>
      <c r="J52" s="36"/>
      <c r="Z52" s="44"/>
    </row>
    <row r="53" spans="1:26">
      <c r="A53" s="22" t="str">
        <f t="shared" si="0"/>
        <v>Fri</v>
      </c>
      <c r="B53" s="23">
        <v>44547</v>
      </c>
      <c r="C53" s="24">
        <v>33347</v>
      </c>
      <c r="D53" s="25" t="s">
        <v>281</v>
      </c>
      <c r="E53" s="26" t="s">
        <v>271</v>
      </c>
      <c r="F53" s="24">
        <v>9</v>
      </c>
      <c r="G53" s="27">
        <v>38</v>
      </c>
      <c r="H53" s="28">
        <v>7.5</v>
      </c>
      <c r="I53" s="28">
        <v>0</v>
      </c>
      <c r="J53" s="36"/>
      <c r="Z53" s="44"/>
    </row>
    <row r="54" spans="1:26">
      <c r="A54" s="22" t="str">
        <f t="shared" si="0"/>
        <v>Fri</v>
      </c>
      <c r="B54" s="23">
        <v>44547</v>
      </c>
      <c r="C54" s="24">
        <v>33365</v>
      </c>
      <c r="D54" s="25" t="s">
        <v>287</v>
      </c>
      <c r="E54" s="26" t="s">
        <v>94</v>
      </c>
      <c r="F54" s="24">
        <v>4</v>
      </c>
      <c r="G54" s="27">
        <v>39</v>
      </c>
      <c r="H54" s="28">
        <v>7.5</v>
      </c>
      <c r="I54" s="28">
        <v>0</v>
      </c>
      <c r="J54" s="36"/>
      <c r="Z54" s="44"/>
    </row>
    <row r="55" spans="1:26">
      <c r="A55" s="22" t="str">
        <f t="shared" si="0"/>
        <v>Fri</v>
      </c>
      <c r="B55" s="23">
        <v>44547</v>
      </c>
      <c r="C55" s="24">
        <v>18811</v>
      </c>
      <c r="D55" s="25" t="s">
        <v>289</v>
      </c>
      <c r="E55" s="26" t="s">
        <v>273</v>
      </c>
      <c r="F55" s="24">
        <v>9</v>
      </c>
      <c r="G55" s="27">
        <v>39</v>
      </c>
      <c r="H55" s="28">
        <v>6.5</v>
      </c>
      <c r="I55" s="28">
        <v>0</v>
      </c>
      <c r="J55" s="36"/>
      <c r="Z55" s="44"/>
    </row>
    <row r="56" spans="1:26">
      <c r="A56" s="22" t="str">
        <f t="shared" si="0"/>
        <v>Fri</v>
      </c>
      <c r="B56" s="23">
        <v>44547</v>
      </c>
      <c r="C56" s="24">
        <v>33957</v>
      </c>
      <c r="D56" s="25" t="s">
        <v>290</v>
      </c>
      <c r="E56" s="26" t="s">
        <v>94</v>
      </c>
      <c r="F56" s="24">
        <v>5</v>
      </c>
      <c r="G56" s="27">
        <v>36</v>
      </c>
      <c r="H56" s="28">
        <v>6</v>
      </c>
      <c r="I56" s="28">
        <v>0</v>
      </c>
      <c r="J56" s="36"/>
      <c r="K56" s="40"/>
      <c r="Z56" s="44"/>
    </row>
    <row r="57" spans="1:26">
      <c r="A57" s="22" t="str">
        <f t="shared" si="0"/>
        <v>Fri</v>
      </c>
      <c r="B57" s="23">
        <v>44547</v>
      </c>
      <c r="C57" s="24">
        <v>18820</v>
      </c>
      <c r="D57" s="25" t="s">
        <v>292</v>
      </c>
      <c r="E57" s="26" t="s">
        <v>269</v>
      </c>
      <c r="F57" s="24">
        <v>8</v>
      </c>
      <c r="G57" s="27">
        <v>40</v>
      </c>
      <c r="H57" s="28">
        <v>4</v>
      </c>
      <c r="I57" s="28">
        <v>3</v>
      </c>
      <c r="J57" s="36"/>
      <c r="K57" s="39"/>
      <c r="Z57" s="44"/>
    </row>
    <row r="58" spans="1:26">
      <c r="A58" s="22" t="str">
        <f t="shared" si="0"/>
        <v>Sat</v>
      </c>
      <c r="B58" s="23">
        <v>44548</v>
      </c>
      <c r="C58" s="24">
        <v>33620</v>
      </c>
      <c r="D58" s="25" t="s">
        <v>268</v>
      </c>
      <c r="E58" s="26" t="s">
        <v>269</v>
      </c>
      <c r="F58" s="24">
        <v>8</v>
      </c>
      <c r="G58" s="27">
        <v>35</v>
      </c>
      <c r="H58" s="28">
        <v>7</v>
      </c>
      <c r="I58" s="28">
        <v>0</v>
      </c>
      <c r="J58" s="36"/>
      <c r="Z58" s="44"/>
    </row>
    <row r="59" spans="1:26">
      <c r="A59" s="22" t="str">
        <f t="shared" si="0"/>
        <v>Sat</v>
      </c>
      <c r="B59" s="23">
        <v>44548</v>
      </c>
      <c r="C59" s="24">
        <v>44372</v>
      </c>
      <c r="D59" s="25" t="s">
        <v>267</v>
      </c>
      <c r="E59" s="26" t="s">
        <v>94</v>
      </c>
      <c r="F59" s="24">
        <v>5</v>
      </c>
      <c r="G59" s="27">
        <v>35</v>
      </c>
      <c r="H59" s="28">
        <v>7.5000000000000018</v>
      </c>
      <c r="I59" s="28">
        <v>0</v>
      </c>
      <c r="J59" s="36"/>
      <c r="Z59" s="44"/>
    </row>
    <row r="60" spans="1:26">
      <c r="A60" s="22" t="str">
        <f t="shared" si="0"/>
        <v>Sat</v>
      </c>
      <c r="B60" s="23">
        <v>44548</v>
      </c>
      <c r="C60" s="24">
        <v>30566</v>
      </c>
      <c r="D60" s="25" t="s">
        <v>270</v>
      </c>
      <c r="E60" s="26" t="s">
        <v>271</v>
      </c>
      <c r="F60" s="24">
        <v>9</v>
      </c>
      <c r="G60" s="27">
        <v>36.5</v>
      </c>
      <c r="H60" s="28">
        <v>6.666666666666667</v>
      </c>
      <c r="I60" s="28">
        <v>0</v>
      </c>
      <c r="J60" s="36"/>
      <c r="Z60" s="44"/>
    </row>
    <row r="61" spans="1:26">
      <c r="A61" s="22" t="str">
        <f t="shared" si="0"/>
        <v>Sat</v>
      </c>
      <c r="B61" s="23">
        <v>44548</v>
      </c>
      <c r="C61" s="24">
        <v>34242</v>
      </c>
      <c r="D61" s="25" t="s">
        <v>272</v>
      </c>
      <c r="E61" s="26" t="s">
        <v>273</v>
      </c>
      <c r="F61" s="24">
        <v>10</v>
      </c>
      <c r="G61" s="27">
        <v>40</v>
      </c>
      <c r="H61" s="28">
        <v>5.8333333333333357</v>
      </c>
      <c r="I61" s="28">
        <v>1</v>
      </c>
      <c r="J61" s="36"/>
      <c r="Z61" s="44"/>
    </row>
    <row r="62" spans="1:26">
      <c r="A62" s="22" t="str">
        <f t="shared" si="0"/>
        <v>Sat</v>
      </c>
      <c r="B62" s="23">
        <v>44548</v>
      </c>
      <c r="C62" s="24">
        <v>16579</v>
      </c>
      <c r="D62" s="25" t="s">
        <v>280</v>
      </c>
      <c r="E62" s="26" t="s">
        <v>94</v>
      </c>
      <c r="F62" s="24">
        <v>3</v>
      </c>
      <c r="G62" s="27">
        <v>41.5</v>
      </c>
      <c r="H62" s="28">
        <v>7.4999999999999982</v>
      </c>
      <c r="I62" s="28">
        <v>0.75</v>
      </c>
      <c r="J62" s="36"/>
    </row>
    <row r="63" spans="1:26">
      <c r="A63" s="22" t="str">
        <f t="shared" si="0"/>
        <v>Sat</v>
      </c>
      <c r="B63" s="23">
        <v>44548</v>
      </c>
      <c r="C63" s="24">
        <v>23571</v>
      </c>
      <c r="D63" s="25" t="s">
        <v>284</v>
      </c>
      <c r="E63" s="26" t="s">
        <v>271</v>
      </c>
      <c r="F63" s="24">
        <v>10</v>
      </c>
      <c r="G63" s="27">
        <v>38</v>
      </c>
      <c r="H63" s="28">
        <v>7.5</v>
      </c>
      <c r="I63" s="28">
        <v>0</v>
      </c>
      <c r="J63" s="36"/>
    </row>
    <row r="64" spans="1:26">
      <c r="A64" s="22" t="str">
        <f t="shared" si="0"/>
        <v>Sat</v>
      </c>
      <c r="B64" s="23">
        <v>44548</v>
      </c>
      <c r="C64" s="24">
        <v>18768</v>
      </c>
      <c r="D64" s="25" t="s">
        <v>283</v>
      </c>
      <c r="E64" s="26" t="s">
        <v>269</v>
      </c>
      <c r="F64" s="24">
        <v>8</v>
      </c>
      <c r="G64" s="27">
        <v>32</v>
      </c>
      <c r="H64" s="28">
        <v>7</v>
      </c>
      <c r="I64" s="28">
        <v>0</v>
      </c>
      <c r="J64" s="36"/>
    </row>
    <row r="65" spans="1:10">
      <c r="A65" s="22" t="str">
        <f t="shared" si="0"/>
        <v>Sat</v>
      </c>
      <c r="B65" s="23">
        <v>44548</v>
      </c>
      <c r="C65" s="24">
        <v>16587</v>
      </c>
      <c r="D65" s="25" t="s">
        <v>281</v>
      </c>
      <c r="E65" s="26" t="s">
        <v>271</v>
      </c>
      <c r="F65" s="24">
        <v>9</v>
      </c>
      <c r="G65" s="27">
        <v>38</v>
      </c>
      <c r="H65" s="28">
        <v>7.5</v>
      </c>
      <c r="I65" s="28">
        <v>0</v>
      </c>
      <c r="J65" s="36"/>
    </row>
    <row r="66" spans="1:10">
      <c r="A66" s="22" t="str">
        <f t="shared" si="0"/>
        <v>Sat</v>
      </c>
      <c r="B66" s="23">
        <v>44548</v>
      </c>
      <c r="C66" s="24">
        <v>34144</v>
      </c>
      <c r="D66" s="25" t="s">
        <v>285</v>
      </c>
      <c r="E66" s="26" t="s">
        <v>286</v>
      </c>
      <c r="F66" s="24">
        <v>7</v>
      </c>
      <c r="G66" s="27">
        <v>39.5</v>
      </c>
      <c r="H66" s="28">
        <v>7.5</v>
      </c>
      <c r="I66" s="28">
        <v>3.5</v>
      </c>
      <c r="J66" s="36"/>
    </row>
    <row r="67" spans="1:10">
      <c r="A67" s="22" t="str">
        <f t="shared" si="0"/>
        <v>Sat</v>
      </c>
      <c r="B67" s="23">
        <v>44548</v>
      </c>
      <c r="C67" s="24">
        <v>33957</v>
      </c>
      <c r="D67" s="25" t="s">
        <v>287</v>
      </c>
      <c r="E67" s="26" t="s">
        <v>94</v>
      </c>
      <c r="F67" s="24">
        <v>4</v>
      </c>
      <c r="G67" s="27">
        <v>39</v>
      </c>
      <c r="H67" s="28">
        <v>4</v>
      </c>
      <c r="I67" s="28">
        <v>0</v>
      </c>
      <c r="J67" s="36"/>
    </row>
    <row r="68" spans="1:10">
      <c r="A68" s="22" t="str">
        <f t="shared" si="0"/>
        <v>Sat</v>
      </c>
      <c r="B68" s="23">
        <v>44548</v>
      </c>
      <c r="C68" s="24">
        <v>16738</v>
      </c>
      <c r="D68" s="25" t="s">
        <v>289</v>
      </c>
      <c r="E68" s="26" t="s">
        <v>273</v>
      </c>
      <c r="F68" s="24">
        <v>9</v>
      </c>
      <c r="G68" s="27">
        <v>39</v>
      </c>
      <c r="H68" s="28">
        <v>6.5</v>
      </c>
      <c r="I68" s="28">
        <v>0</v>
      </c>
      <c r="J68" s="36"/>
    </row>
    <row r="69" spans="1:10">
      <c r="A69" s="22" t="str">
        <f t="shared" ref="A69:A71" si="1">TEXT(B69,"DDD")</f>
        <v>Sat</v>
      </c>
      <c r="B69" s="23">
        <v>44548</v>
      </c>
      <c r="C69" s="24">
        <v>32173</v>
      </c>
      <c r="D69" s="25" t="s">
        <v>290</v>
      </c>
      <c r="E69" s="26" t="s">
        <v>94</v>
      </c>
      <c r="F69" s="24">
        <v>5</v>
      </c>
      <c r="G69" s="27">
        <v>36</v>
      </c>
      <c r="H69" s="28">
        <v>6</v>
      </c>
      <c r="I69" s="28">
        <v>0</v>
      </c>
      <c r="J69" s="36"/>
    </row>
    <row r="70" spans="1:10">
      <c r="A70" s="22" t="str">
        <f t="shared" si="1"/>
        <v>Sat</v>
      </c>
      <c r="B70" s="23">
        <v>44548</v>
      </c>
      <c r="C70" s="24">
        <v>16583</v>
      </c>
      <c r="D70" s="25" t="s">
        <v>292</v>
      </c>
      <c r="E70" s="26" t="s">
        <v>269</v>
      </c>
      <c r="F70" s="24">
        <v>8</v>
      </c>
      <c r="G70" s="27">
        <v>40</v>
      </c>
      <c r="H70" s="28">
        <v>4</v>
      </c>
      <c r="I70" s="28">
        <v>0</v>
      </c>
      <c r="J70" s="36"/>
    </row>
    <row r="71" spans="1:10">
      <c r="A71" s="22" t="str">
        <f t="shared" si="1"/>
        <v>Sat</v>
      </c>
      <c r="B71" s="23">
        <v>44548</v>
      </c>
      <c r="C71" s="24">
        <v>18711</v>
      </c>
      <c r="D71" s="25" t="s">
        <v>293</v>
      </c>
      <c r="E71" s="26" t="s">
        <v>94</v>
      </c>
      <c r="F71" s="24">
        <v>5</v>
      </c>
      <c r="G71" s="27">
        <v>34.75</v>
      </c>
      <c r="H71" s="28">
        <v>7.5</v>
      </c>
      <c r="I71" s="28">
        <v>0</v>
      </c>
      <c r="J71" s="36"/>
    </row>
    <row r="72" spans="1:10">
      <c r="J72" s="36"/>
    </row>
    <row r="73" spans="1:10">
      <c r="J73" s="36"/>
    </row>
    <row r="74" spans="1:10">
      <c r="J74" s="36"/>
    </row>
    <row r="75" spans="1:10">
      <c r="J75" s="36"/>
    </row>
    <row r="76" spans="1:10">
      <c r="J76" s="36"/>
    </row>
    <row r="77" spans="1:10">
      <c r="J77" s="36"/>
    </row>
    <row r="78" spans="1:10">
      <c r="J78" s="36"/>
    </row>
    <row r="79" spans="1:10">
      <c r="J79" s="36"/>
    </row>
    <row r="80" spans="1:10">
      <c r="J80" s="36"/>
    </row>
    <row r="81" spans="10:10">
      <c r="J81" s="36"/>
    </row>
    <row r="82" spans="10:10">
      <c r="J82" s="36"/>
    </row>
    <row r="83" spans="10:10">
      <c r="J83" s="36"/>
    </row>
    <row r="84" spans="10:10">
      <c r="J84" s="36"/>
    </row>
    <row r="85" spans="10:10">
      <c r="J85" s="36"/>
    </row>
    <row r="86" spans="10:10">
      <c r="J86" s="36"/>
    </row>
    <row r="87" spans="10:10">
      <c r="J87" s="36"/>
    </row>
    <row r="88" spans="10:10">
      <c r="J88" s="36"/>
    </row>
    <row r="89" spans="10:10">
      <c r="J89" s="36"/>
    </row>
  </sheetData>
  <autoFilter ref="A3:I71" xr:uid="{04A4B1B4-0D99-4CA4-BA53-5F889C6B8C46}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2D47-D246-4C77-A27B-A79F8FD29C26}">
  <sheetPr codeName="Sheet7">
    <tabColor rgb="FFFF0000"/>
  </sheetPr>
  <dimension ref="A1:Q42"/>
  <sheetViews>
    <sheetView zoomScale="107" workbookViewId="0">
      <selection activeCell="D3" sqref="D3"/>
    </sheetView>
  </sheetViews>
  <sheetFormatPr defaultColWidth="11.85546875" defaultRowHeight="18" customHeight="1"/>
  <cols>
    <col min="1" max="10" width="11.85546875" style="1"/>
    <col min="11" max="11" width="13.7109375" style="1" customWidth="1"/>
    <col min="12" max="12" width="4.5703125" style="1" customWidth="1"/>
    <col min="13" max="13" width="7.7109375" style="1" customWidth="1"/>
    <col min="14" max="16384" width="11.85546875" style="1"/>
  </cols>
  <sheetData>
    <row r="1" spans="1:17" s="12" customFormat="1" ht="18" customHeight="1">
      <c r="A1" s="11" t="s">
        <v>297</v>
      </c>
      <c r="B1" s="11" t="s">
        <v>298</v>
      </c>
      <c r="C1" s="11" t="s">
        <v>299</v>
      </c>
      <c r="D1" s="11" t="s">
        <v>300</v>
      </c>
      <c r="E1" s="11" t="s">
        <v>183</v>
      </c>
      <c r="F1" s="11" t="s">
        <v>301</v>
      </c>
      <c r="G1" s="11" t="s">
        <v>302</v>
      </c>
      <c r="H1" s="11" t="s">
        <v>303</v>
      </c>
      <c r="I1" s="11" t="s">
        <v>304</v>
      </c>
      <c r="J1" s="11" t="s">
        <v>305</v>
      </c>
      <c r="K1" s="11" t="s">
        <v>306</v>
      </c>
      <c r="L1"/>
      <c r="N1"/>
      <c r="O1"/>
      <c r="P1"/>
      <c r="Q1"/>
    </row>
    <row r="2" spans="1:17" ht="18" customHeight="1">
      <c r="A2" s="7">
        <v>44694</v>
      </c>
      <c r="B2" s="13">
        <f t="shared" ref="B2:B20" si="0">F2*25</f>
        <v>100</v>
      </c>
      <c r="C2" s="1" t="s">
        <v>307</v>
      </c>
      <c r="D2" s="157" t="s">
        <v>308</v>
      </c>
      <c r="E2" s="1" t="s">
        <v>309</v>
      </c>
      <c r="F2" s="14">
        <v>4</v>
      </c>
      <c r="G2" s="13">
        <v>55</v>
      </c>
      <c r="H2" s="14">
        <v>0</v>
      </c>
      <c r="I2" s="14" t="s">
        <v>105</v>
      </c>
      <c r="J2" s="14" t="s">
        <v>104</v>
      </c>
      <c r="K2" s="14" t="str">
        <f>IF(F2&gt;=6,"Own Table","")</f>
        <v/>
      </c>
      <c r="L2" s="14"/>
    </row>
    <row r="3" spans="1:17" ht="18" customHeight="1">
      <c r="A3" s="7">
        <v>44694</v>
      </c>
      <c r="B3" s="13">
        <f t="shared" si="0"/>
        <v>150</v>
      </c>
      <c r="C3" s="1" t="s">
        <v>310</v>
      </c>
      <c r="D3" s="1" t="s">
        <v>311</v>
      </c>
      <c r="E3" s="1" t="s">
        <v>312</v>
      </c>
      <c r="F3" s="14">
        <v>6</v>
      </c>
      <c r="G3" s="13">
        <v>80</v>
      </c>
      <c r="H3" s="14">
        <v>2</v>
      </c>
      <c r="I3" s="14" t="s">
        <v>104</v>
      </c>
      <c r="J3" s="14" t="s">
        <v>104</v>
      </c>
      <c r="K3" s="14" t="str">
        <f t="shared" ref="K3:K20" si="1">IF(F3&gt;=6,"Own Table","")</f>
        <v>Own Table</v>
      </c>
      <c r="L3" s="14"/>
      <c r="M3" s="15"/>
      <c r="N3" s="15"/>
      <c r="O3" s="15" t="s">
        <v>146</v>
      </c>
    </row>
    <row r="4" spans="1:17" ht="18" customHeight="1">
      <c r="A4" s="7">
        <v>44695</v>
      </c>
      <c r="B4" s="13">
        <f t="shared" si="0"/>
        <v>125</v>
      </c>
      <c r="C4" s="1" t="s">
        <v>313</v>
      </c>
      <c r="D4" s="1" t="s">
        <v>314</v>
      </c>
      <c r="E4" s="1" t="s">
        <v>312</v>
      </c>
      <c r="F4" s="14">
        <v>5</v>
      </c>
      <c r="G4" s="13">
        <v>65</v>
      </c>
      <c r="H4" s="14">
        <v>1</v>
      </c>
      <c r="I4" s="14" t="s">
        <v>105</v>
      </c>
      <c r="J4" s="14" t="s">
        <v>104</v>
      </c>
      <c r="K4" s="14" t="str">
        <f t="shared" si="1"/>
        <v/>
      </c>
      <c r="L4" s="14"/>
      <c r="M4" s="16">
        <v>1</v>
      </c>
      <c r="N4" s="15"/>
      <c r="O4" s="17">
        <f>SUM(H:H)</f>
        <v>17</v>
      </c>
    </row>
    <row r="5" spans="1:17" ht="18" customHeight="1">
      <c r="A5" s="7">
        <v>44696</v>
      </c>
      <c r="B5" s="13">
        <f t="shared" si="0"/>
        <v>100</v>
      </c>
      <c r="C5" s="1" t="s">
        <v>315</v>
      </c>
      <c r="D5" s="1" t="s">
        <v>316</v>
      </c>
      <c r="E5" s="1" t="s">
        <v>309</v>
      </c>
      <c r="F5" s="14">
        <v>4</v>
      </c>
      <c r="G5" s="13">
        <v>45</v>
      </c>
      <c r="H5" s="14">
        <v>1</v>
      </c>
      <c r="I5" s="14" t="s">
        <v>104</v>
      </c>
      <c r="J5" s="14" t="s">
        <v>104</v>
      </c>
      <c r="K5" s="14" t="str">
        <f t="shared" si="1"/>
        <v/>
      </c>
      <c r="L5" s="14"/>
      <c r="M5" s="16">
        <v>2</v>
      </c>
      <c r="N5" s="15"/>
      <c r="O5" s="59">
        <f>SUM(B2:B20,G2:G20)</f>
        <v>3335</v>
      </c>
    </row>
    <row r="6" spans="1:17" ht="18" customHeight="1">
      <c r="A6" s="7">
        <v>44697</v>
      </c>
      <c r="B6" s="13">
        <f t="shared" si="0"/>
        <v>100</v>
      </c>
      <c r="C6" s="1" t="s">
        <v>317</v>
      </c>
      <c r="D6" s="1" t="s">
        <v>318</v>
      </c>
      <c r="E6" s="1" t="s">
        <v>319</v>
      </c>
      <c r="F6" s="14">
        <v>4</v>
      </c>
      <c r="G6" s="13">
        <v>60</v>
      </c>
      <c r="H6" s="14">
        <v>1</v>
      </c>
      <c r="I6" s="14" t="s">
        <v>105</v>
      </c>
      <c r="J6" s="14" t="s">
        <v>104</v>
      </c>
      <c r="K6" s="14" t="str">
        <f t="shared" si="1"/>
        <v/>
      </c>
      <c r="L6" s="14"/>
      <c r="M6" s="16">
        <v>3</v>
      </c>
      <c r="N6" s="15"/>
      <c r="O6" s="17">
        <f>COUNTA(C2:C20)</f>
        <v>19</v>
      </c>
    </row>
    <row r="7" spans="1:17" ht="18" customHeight="1">
      <c r="A7" s="7">
        <v>44698</v>
      </c>
      <c r="B7" s="13">
        <f t="shared" si="0"/>
        <v>50</v>
      </c>
      <c r="C7" s="1" t="s">
        <v>320</v>
      </c>
      <c r="D7" s="1" t="s">
        <v>321</v>
      </c>
      <c r="E7" s="1" t="s">
        <v>319</v>
      </c>
      <c r="F7" s="14">
        <v>2</v>
      </c>
      <c r="G7" s="13" t="s">
        <v>37</v>
      </c>
      <c r="H7" s="14">
        <v>1</v>
      </c>
      <c r="I7" s="14" t="s">
        <v>105</v>
      </c>
      <c r="J7" s="14" t="s">
        <v>105</v>
      </c>
      <c r="K7" s="14" t="str">
        <f t="shared" si="1"/>
        <v/>
      </c>
      <c r="L7" s="14"/>
      <c r="M7" s="16">
        <v>4</v>
      </c>
      <c r="N7" s="170" t="s">
        <v>207</v>
      </c>
      <c r="O7" s="17">
        <f>COUNTIF(E2:E20,N7)</f>
        <v>6</v>
      </c>
    </row>
    <row r="8" spans="1:17" ht="18" customHeight="1">
      <c r="A8" s="7">
        <v>44698</v>
      </c>
      <c r="B8" s="13">
        <f t="shared" si="0"/>
        <v>75</v>
      </c>
      <c r="C8" s="1" t="s">
        <v>322</v>
      </c>
      <c r="D8" s="1" t="s">
        <v>323</v>
      </c>
      <c r="E8" s="1" t="s">
        <v>190</v>
      </c>
      <c r="F8" s="14">
        <v>3</v>
      </c>
      <c r="G8" s="13" t="s">
        <v>37</v>
      </c>
      <c r="H8" s="14">
        <v>1</v>
      </c>
      <c r="I8" s="14" t="s">
        <v>105</v>
      </c>
      <c r="J8" s="14" t="s">
        <v>104</v>
      </c>
      <c r="K8" s="14" t="str">
        <f t="shared" si="1"/>
        <v/>
      </c>
      <c r="L8" s="14"/>
      <c r="M8" s="16">
        <v>5</v>
      </c>
      <c r="N8" s="170" t="s">
        <v>37</v>
      </c>
      <c r="O8" s="17">
        <f>COUNTIF(G:G,N8)</f>
        <v>6</v>
      </c>
    </row>
    <row r="9" spans="1:17" ht="18" customHeight="1">
      <c r="A9" s="7">
        <v>44698</v>
      </c>
      <c r="B9" s="13">
        <f t="shared" si="0"/>
        <v>150</v>
      </c>
      <c r="C9" s="1" t="s">
        <v>324</v>
      </c>
      <c r="D9" s="1" t="s">
        <v>325</v>
      </c>
      <c r="E9" s="1" t="s">
        <v>309</v>
      </c>
      <c r="F9" s="14">
        <v>6</v>
      </c>
      <c r="G9" s="13" t="s">
        <v>37</v>
      </c>
      <c r="H9" s="14">
        <v>2</v>
      </c>
      <c r="I9" s="14" t="s">
        <v>105</v>
      </c>
      <c r="J9" s="14" t="s">
        <v>104</v>
      </c>
      <c r="K9" s="14" t="str">
        <f t="shared" si="1"/>
        <v>Own Table</v>
      </c>
      <c r="L9" s="14"/>
      <c r="M9" s="16">
        <v>6</v>
      </c>
      <c r="N9" s="170" t="s">
        <v>326</v>
      </c>
      <c r="O9" s="17">
        <f>COUNTIF(J:J,N9)</f>
        <v>7</v>
      </c>
    </row>
    <row r="10" spans="1:17" ht="18" customHeight="1">
      <c r="A10" s="7">
        <v>44698</v>
      </c>
      <c r="B10" s="13">
        <f t="shared" si="0"/>
        <v>100</v>
      </c>
      <c r="C10" s="1" t="s">
        <v>327</v>
      </c>
      <c r="D10" s="1" t="s">
        <v>328</v>
      </c>
      <c r="E10" s="1" t="s">
        <v>190</v>
      </c>
      <c r="F10" s="14">
        <v>4</v>
      </c>
      <c r="G10" s="13">
        <v>150</v>
      </c>
      <c r="H10" s="14">
        <v>2</v>
      </c>
      <c r="I10" s="14" t="s">
        <v>104</v>
      </c>
      <c r="J10" s="14" t="s">
        <v>104</v>
      </c>
      <c r="K10" s="14" t="str">
        <f t="shared" si="1"/>
        <v/>
      </c>
      <c r="L10" s="14"/>
      <c r="M10" s="16">
        <v>7</v>
      </c>
      <c r="N10" s="170" t="s">
        <v>103</v>
      </c>
      <c r="O10" s="17">
        <f ca="1">SUMIF(I:I,N10,F1:F20)</f>
        <v>30</v>
      </c>
    </row>
    <row r="11" spans="1:17" ht="18" customHeight="1">
      <c r="A11" s="7">
        <v>44698</v>
      </c>
      <c r="B11" s="13">
        <f t="shared" si="0"/>
        <v>50</v>
      </c>
      <c r="C11" s="1" t="s">
        <v>329</v>
      </c>
      <c r="D11" s="1" t="s">
        <v>330</v>
      </c>
      <c r="E11" s="1" t="s">
        <v>319</v>
      </c>
      <c r="F11" s="14">
        <v>2</v>
      </c>
      <c r="G11" s="13">
        <v>50</v>
      </c>
      <c r="H11" s="14">
        <v>0</v>
      </c>
      <c r="I11" s="14" t="s">
        <v>105</v>
      </c>
      <c r="J11" s="14" t="s">
        <v>104</v>
      </c>
      <c r="K11" s="14" t="str">
        <f t="shared" si="1"/>
        <v/>
      </c>
      <c r="L11" s="14"/>
      <c r="M11" s="16">
        <v>8</v>
      </c>
      <c r="N11" s="170" t="s">
        <v>94</v>
      </c>
      <c r="O11" s="17">
        <f>SUMIF(E1:E20,N11,F1:F20)</f>
        <v>8</v>
      </c>
    </row>
    <row r="12" spans="1:17" ht="18" customHeight="1">
      <c r="A12" s="7">
        <v>44699</v>
      </c>
      <c r="B12" s="13">
        <f t="shared" si="0"/>
        <v>25</v>
      </c>
      <c r="C12" s="1" t="s">
        <v>331</v>
      </c>
      <c r="D12" s="1" t="s">
        <v>332</v>
      </c>
      <c r="E12" s="1" t="s">
        <v>309</v>
      </c>
      <c r="F12" s="14">
        <v>1</v>
      </c>
      <c r="G12" s="13">
        <v>45</v>
      </c>
      <c r="H12" s="14">
        <v>0</v>
      </c>
      <c r="I12" s="14" t="s">
        <v>105</v>
      </c>
      <c r="J12" s="14" t="s">
        <v>104</v>
      </c>
      <c r="K12" s="14" t="str">
        <f t="shared" si="1"/>
        <v/>
      </c>
      <c r="L12" s="14"/>
      <c r="M12" s="16">
        <v>9</v>
      </c>
      <c r="N12" s="15"/>
      <c r="O12" s="17">
        <f>MODE(F2:F20)</f>
        <v>4</v>
      </c>
    </row>
    <row r="13" spans="1:17" ht="18" customHeight="1">
      <c r="A13" s="7">
        <v>44700</v>
      </c>
      <c r="B13" s="13">
        <f t="shared" si="0"/>
        <v>125</v>
      </c>
      <c r="C13" s="1" t="s">
        <v>333</v>
      </c>
      <c r="D13" s="1" t="s">
        <v>334</v>
      </c>
      <c r="E13" s="1" t="s">
        <v>309</v>
      </c>
      <c r="F13" s="14">
        <v>5</v>
      </c>
      <c r="G13" s="13">
        <v>400</v>
      </c>
      <c r="H13" s="14">
        <v>3</v>
      </c>
      <c r="I13" s="14" t="s">
        <v>105</v>
      </c>
      <c r="J13" s="14" t="s">
        <v>104</v>
      </c>
      <c r="K13" s="14" t="str">
        <f t="shared" si="1"/>
        <v/>
      </c>
      <c r="L13" s="14"/>
      <c r="M13" s="18">
        <v>10</v>
      </c>
      <c r="N13" s="15"/>
      <c r="O13" s="169">
        <f>AVERAGE(G:G)</f>
        <v>125.76923076923077</v>
      </c>
    </row>
    <row r="14" spans="1:17" ht="18" customHeight="1">
      <c r="A14" s="7">
        <v>44701</v>
      </c>
      <c r="B14" s="13">
        <f t="shared" si="0"/>
        <v>50</v>
      </c>
      <c r="C14" s="1" t="s">
        <v>335</v>
      </c>
      <c r="D14" s="1" t="s">
        <v>336</v>
      </c>
      <c r="E14" s="1" t="s">
        <v>337</v>
      </c>
      <c r="F14" s="14">
        <v>2</v>
      </c>
      <c r="G14" s="13">
        <v>150</v>
      </c>
      <c r="H14" s="14">
        <v>0</v>
      </c>
      <c r="I14" s="14" t="s">
        <v>104</v>
      </c>
      <c r="J14" s="14" t="s">
        <v>104</v>
      </c>
      <c r="K14" s="14" t="str">
        <f t="shared" si="1"/>
        <v/>
      </c>
      <c r="L14" s="14"/>
    </row>
    <row r="15" spans="1:17" ht="18" customHeight="1">
      <c r="A15" s="7">
        <v>44702</v>
      </c>
      <c r="B15" s="13">
        <f t="shared" si="0"/>
        <v>100</v>
      </c>
      <c r="C15" s="1" t="s">
        <v>338</v>
      </c>
      <c r="D15" s="1" t="s">
        <v>339</v>
      </c>
      <c r="E15" s="1" t="s">
        <v>337</v>
      </c>
      <c r="F15" s="14">
        <v>4</v>
      </c>
      <c r="G15" s="13" t="s">
        <v>37</v>
      </c>
      <c r="H15" s="14">
        <v>0</v>
      </c>
      <c r="I15" s="14" t="s">
        <v>105</v>
      </c>
      <c r="J15" s="14" t="s">
        <v>105</v>
      </c>
      <c r="K15" s="14" t="str">
        <f t="shared" si="1"/>
        <v/>
      </c>
      <c r="L15" s="14"/>
    </row>
    <row r="16" spans="1:17" ht="18" customHeight="1">
      <c r="A16" s="7">
        <v>44703</v>
      </c>
      <c r="B16" s="13">
        <f t="shared" si="0"/>
        <v>50</v>
      </c>
      <c r="C16" s="1" t="s">
        <v>340</v>
      </c>
      <c r="D16" s="1" t="s">
        <v>341</v>
      </c>
      <c r="E16" s="1" t="s">
        <v>337</v>
      </c>
      <c r="F16" s="14">
        <v>2</v>
      </c>
      <c r="G16" s="13">
        <v>20</v>
      </c>
      <c r="H16" s="14">
        <v>0</v>
      </c>
      <c r="I16" s="14" t="s">
        <v>105</v>
      </c>
      <c r="J16" s="14" t="s">
        <v>105</v>
      </c>
      <c r="K16" s="14" t="str">
        <f t="shared" si="1"/>
        <v/>
      </c>
      <c r="L16" s="14"/>
    </row>
    <row r="17" spans="1:12" ht="18" customHeight="1">
      <c r="A17" s="7">
        <v>44703</v>
      </c>
      <c r="B17" s="13">
        <f t="shared" si="0"/>
        <v>125</v>
      </c>
      <c r="C17" s="1" t="s">
        <v>342</v>
      </c>
      <c r="D17" s="1" t="s">
        <v>343</v>
      </c>
      <c r="E17" s="1" t="s">
        <v>344</v>
      </c>
      <c r="F17" s="14">
        <v>5</v>
      </c>
      <c r="G17" s="13">
        <v>15</v>
      </c>
      <c r="H17" s="14">
        <v>0</v>
      </c>
      <c r="I17" s="14" t="s">
        <v>104</v>
      </c>
      <c r="J17" s="14" t="s">
        <v>105</v>
      </c>
      <c r="K17" s="14" t="str">
        <f t="shared" si="1"/>
        <v/>
      </c>
      <c r="L17" s="14"/>
    </row>
    <row r="18" spans="1:12" ht="18" customHeight="1">
      <c r="A18" s="7">
        <v>44703</v>
      </c>
      <c r="B18" s="13">
        <f t="shared" si="0"/>
        <v>150</v>
      </c>
      <c r="C18" s="1" t="s">
        <v>345</v>
      </c>
      <c r="D18" s="1" t="s">
        <v>346</v>
      </c>
      <c r="E18" s="1" t="s">
        <v>344</v>
      </c>
      <c r="F18" s="14">
        <v>6</v>
      </c>
      <c r="G18" s="13" t="s">
        <v>37</v>
      </c>
      <c r="H18" s="14">
        <v>2</v>
      </c>
      <c r="I18" s="14" t="s">
        <v>104</v>
      </c>
      <c r="J18" s="14" t="s">
        <v>105</v>
      </c>
      <c r="K18" s="14" t="str">
        <f t="shared" si="1"/>
        <v>Own Table</v>
      </c>
      <c r="L18" s="14"/>
    </row>
    <row r="19" spans="1:12" ht="18" customHeight="1">
      <c r="A19" s="7">
        <v>44703</v>
      </c>
      <c r="B19" s="13">
        <f t="shared" si="0"/>
        <v>50</v>
      </c>
      <c r="C19" s="1" t="s">
        <v>347</v>
      </c>
      <c r="D19" s="1" t="s">
        <v>348</v>
      </c>
      <c r="E19" s="1" t="s">
        <v>309</v>
      </c>
      <c r="F19" s="14">
        <v>2</v>
      </c>
      <c r="G19" s="13" t="s">
        <v>37</v>
      </c>
      <c r="H19" s="14">
        <v>1</v>
      </c>
      <c r="I19" s="14" t="s">
        <v>104</v>
      </c>
      <c r="J19" s="14" t="s">
        <v>105</v>
      </c>
      <c r="K19" s="14" t="str">
        <f t="shared" si="1"/>
        <v/>
      </c>
      <c r="L19" s="14"/>
    </row>
    <row r="20" spans="1:12" ht="18" customHeight="1">
      <c r="A20" s="7">
        <v>44704</v>
      </c>
      <c r="B20" s="13">
        <f t="shared" si="0"/>
        <v>25</v>
      </c>
      <c r="C20" s="1" t="s">
        <v>349</v>
      </c>
      <c r="D20" s="1" t="s">
        <v>350</v>
      </c>
      <c r="E20" s="1" t="s">
        <v>351</v>
      </c>
      <c r="F20" s="14">
        <v>1</v>
      </c>
      <c r="G20" s="13">
        <v>500</v>
      </c>
      <c r="H20" s="14">
        <v>0</v>
      </c>
      <c r="I20" s="14" t="s">
        <v>104</v>
      </c>
      <c r="J20" s="14" t="s">
        <v>105</v>
      </c>
      <c r="K20" s="14" t="str">
        <f t="shared" si="1"/>
        <v/>
      </c>
      <c r="L20" s="14"/>
    </row>
    <row r="24" spans="1:12" s="19" customFormat="1" ht="18" customHeight="1">
      <c r="A24" s="166"/>
      <c r="B24" s="166"/>
      <c r="C24" s="166"/>
      <c r="D24" s="166"/>
      <c r="E24" s="166"/>
      <c r="F24" s="166"/>
    </row>
    <row r="25" spans="1:12" s="19" customFormat="1" ht="18" customHeight="1">
      <c r="A25" s="166"/>
      <c r="B25" s="166"/>
      <c r="C25" s="166"/>
      <c r="D25" s="166"/>
      <c r="E25" s="166"/>
      <c r="F25" s="166"/>
      <c r="J25" s="20"/>
    </row>
    <row r="26" spans="1:12" s="19" customFormat="1" ht="18" customHeight="1">
      <c r="A26" s="166"/>
      <c r="B26" s="166"/>
      <c r="C26" s="166"/>
      <c r="D26" s="166"/>
      <c r="E26" s="166"/>
      <c r="F26" s="166"/>
    </row>
    <row r="27" spans="1:12" s="19" customFormat="1" ht="18" customHeight="1">
      <c r="A27" s="166"/>
      <c r="B27" s="166"/>
      <c r="C27" s="166"/>
      <c r="D27" s="166"/>
      <c r="E27" s="166"/>
      <c r="F27" s="166"/>
      <c r="G27" s="21"/>
    </row>
    <row r="28" spans="1:12" s="19" customFormat="1" ht="18" customHeight="1">
      <c r="A28" s="166"/>
      <c r="B28" s="166"/>
      <c r="C28" s="166"/>
      <c r="D28" s="166"/>
      <c r="E28" s="166"/>
      <c r="F28" s="166"/>
    </row>
    <row r="29" spans="1:12" s="19" customFormat="1" ht="18" customHeight="1">
      <c r="A29" s="166"/>
      <c r="B29" s="166"/>
      <c r="C29" s="166"/>
      <c r="D29" s="166"/>
      <c r="E29" s="166"/>
      <c r="F29" s="166"/>
    </row>
    <row r="30" spans="1:12" s="19" customFormat="1" ht="18" customHeight="1">
      <c r="A30" s="166"/>
      <c r="B30" s="166"/>
      <c r="C30" s="166"/>
      <c r="D30" s="166"/>
      <c r="E30" s="166"/>
      <c r="F30" s="166"/>
    </row>
    <row r="31" spans="1:12" s="19" customFormat="1" ht="18" customHeight="1">
      <c r="A31" s="166"/>
      <c r="B31" s="166"/>
      <c r="C31" s="166"/>
      <c r="D31" s="166"/>
      <c r="E31" s="166"/>
      <c r="F31" s="166"/>
    </row>
    <row r="32" spans="1:12" s="19" customFormat="1" ht="18" customHeight="1">
      <c r="A32" s="166"/>
      <c r="B32" s="166"/>
      <c r="C32" s="166"/>
      <c r="D32" s="166"/>
      <c r="E32" s="166"/>
      <c r="F32" s="166"/>
    </row>
    <row r="33" spans="1:6" s="19" customFormat="1" ht="18" customHeight="1">
      <c r="A33" s="166"/>
      <c r="B33" s="166"/>
      <c r="C33" s="166"/>
      <c r="D33" s="166"/>
      <c r="E33" s="166"/>
      <c r="F33" s="166"/>
    </row>
    <row r="34" spans="1:6" s="19" customFormat="1" ht="18" customHeight="1">
      <c r="A34" s="166"/>
      <c r="B34" s="166"/>
      <c r="C34" s="166"/>
      <c r="D34" s="166"/>
      <c r="E34" s="166"/>
      <c r="F34" s="166"/>
    </row>
    <row r="35" spans="1:6" s="19" customFormat="1" ht="18" customHeight="1">
      <c r="A35" s="166"/>
      <c r="B35" s="166"/>
      <c r="C35" s="166"/>
      <c r="D35" s="166"/>
      <c r="E35" s="166"/>
      <c r="F35" s="166"/>
    </row>
    <row r="36" spans="1:6" s="19" customFormat="1" ht="18" customHeight="1">
      <c r="A36" s="166"/>
      <c r="B36" s="166"/>
      <c r="C36" s="166"/>
      <c r="D36" s="166"/>
      <c r="E36" s="166"/>
      <c r="F36" s="166"/>
    </row>
    <row r="37" spans="1:6" s="19" customFormat="1" ht="18" customHeight="1">
      <c r="A37" s="166"/>
      <c r="B37" s="166"/>
      <c r="C37" s="166"/>
      <c r="D37" s="166"/>
      <c r="E37" s="166"/>
      <c r="F37" s="166"/>
    </row>
    <row r="38" spans="1:6" s="19" customFormat="1" ht="18" customHeight="1">
      <c r="A38" s="166"/>
      <c r="B38" s="166"/>
      <c r="C38" s="166"/>
      <c r="D38" s="166"/>
      <c r="E38" s="166"/>
      <c r="F38" s="166"/>
    </row>
    <row r="39" spans="1:6" s="19" customFormat="1" ht="18" customHeight="1">
      <c r="A39" s="166"/>
      <c r="B39" s="166"/>
      <c r="C39" s="166"/>
      <c r="D39" s="166"/>
      <c r="E39" s="166"/>
      <c r="F39" s="166"/>
    </row>
    <row r="40" spans="1:6" s="19" customFormat="1" ht="18" customHeight="1"/>
    <row r="41" spans="1:6" s="19" customFormat="1" ht="18" customHeight="1"/>
    <row r="42" spans="1:6" s="19" customFormat="1" ht="18" customHeight="1"/>
  </sheetData>
  <autoFilter ref="A1:J20" xr:uid="{E9032D47-D246-4C77-A27B-A79F8FD29C26}"/>
  <mergeCells count="16">
    <mergeCell ref="A29:F29"/>
    <mergeCell ref="A24:F24"/>
    <mergeCell ref="A25:F25"/>
    <mergeCell ref="A26:F26"/>
    <mergeCell ref="A27:F27"/>
    <mergeCell ref="A28:F28"/>
    <mergeCell ref="A36:F36"/>
    <mergeCell ref="A37:F37"/>
    <mergeCell ref="A38:F38"/>
    <mergeCell ref="A39:F39"/>
    <mergeCell ref="A30:F30"/>
    <mergeCell ref="A31:F31"/>
    <mergeCell ref="A32:F32"/>
    <mergeCell ref="A33:F33"/>
    <mergeCell ref="A34:F34"/>
    <mergeCell ref="A35:F3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B4EA066C29E94CB40A809408264F39" ma:contentTypeVersion="26" ma:contentTypeDescription="Create a new document." ma:contentTypeScope="" ma:versionID="abe5ba9a1e373e724b841c32dd5f69a7">
  <xsd:schema xmlns:xsd="http://www.w3.org/2001/XMLSchema" xmlns:xs="http://www.w3.org/2001/XMLSchema" xmlns:p="http://schemas.microsoft.com/office/2006/metadata/properties" xmlns:ns2="5be466aa-9221-4526-8a51-40bb3c3e9733" xmlns:ns3="79b53a2e-f2ad-401e-ad3b-f695ae178b13" targetNamespace="http://schemas.microsoft.com/office/2006/metadata/properties" ma:root="true" ma:fieldsID="54005053c8fdc22b232bcec070286fb3" ns2:_="" ns3:_="">
    <xsd:import namespace="5be466aa-9221-4526-8a51-40bb3c3e9733"/>
    <xsd:import namespace="79b53a2e-f2ad-401e-ad3b-f695ae178b13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Teaching_x0020_Aid" minOccurs="0"/>
                <xsd:element ref="ns2:lcf76f155ced4ddcb4097134ff3c332f0" minOccurs="0"/>
                <xsd:element ref="ns2:Progress" minOccurs="0"/>
                <xsd:element ref="ns2:lcf76f155ced4ddcb4097134ff3c332f1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TranslatedLan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466aa-9221-4526-8a51-40bb3c3e9733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igrationWizIdPermissionLevels" ma:index="11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2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3" nillable="true" ma:displayName="MigrationWizIdSecurityGroups" ma:internalName="MigrationWizIdSecurityGroups">
      <xsd:simpleType>
        <xsd:restriction base="dms:Text"/>
      </xsd:simpleType>
    </xsd:element>
    <xsd:element name="Teaching_x0020_Aid" ma:index="14" nillable="true" ma:displayName="Teaching Aid" ma:description="Handout, Presentation, Course Outline or Training Doc" ma:format="Dropdown" ma:internalName="Teaching_x0020_Aid" ma:readOnly="false">
      <xsd:simpleType>
        <xsd:restriction base="dms:Choice">
          <xsd:enumeration value="Delegate Handout"/>
          <xsd:enumeration value="Presentation"/>
          <xsd:enumeration value="Training Support Doc"/>
          <xsd:enumeration value="Course Outline"/>
          <xsd:enumeration value="Lesson Plan"/>
          <xsd:enumeration value="Instructions / Procedure Table"/>
          <xsd:enumeration value="Transcript File"/>
          <xsd:enumeration value="Subtitles File"/>
          <xsd:enumeration value="Video File"/>
          <xsd:enumeration value="Audio File"/>
          <xsd:enumeration value="Speech"/>
        </xsd:restriction>
      </xsd:simpleType>
    </xsd:element>
    <xsd:element name="lcf76f155ced4ddcb4097134ff3c332f0" ma:index="15" nillable="true" ma:displayName="Image Tags_0" ma:hidden="true" ma:internalName="lcf76f155ced4ddcb4097134ff3c332f0" ma:readOnly="false">
      <xsd:simpleType>
        <xsd:restriction base="dms:Note"/>
      </xsd:simpleType>
    </xsd:element>
    <xsd:element name="Progress" ma:index="16" nillable="true" ma:displayName="Progress" ma:format="Dropdown" ma:internalName="Progress" ma:readOnly="false">
      <xsd:simpleType>
        <xsd:restriction base="dms:Choice">
          <xsd:enumeration value="In progress"/>
          <xsd:enumeration value="Completed"/>
          <xsd:enumeration value="Not started"/>
        </xsd:restriction>
      </xsd:simpleType>
    </xsd:element>
    <xsd:element name="lcf76f155ced4ddcb4097134ff3c332f1" ma:index="17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4c5b3c6d-d9d8-41a8-b6c6-8930cfab3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2" nillable="true" ma:displayName="Location" ma:indexed="true" ma:internalName="MediaServiceLocation" ma:readOnly="true">
      <xsd:simpleType>
        <xsd:restriction base="dms:Text"/>
      </xsd:simpleType>
    </xsd:element>
    <xsd:element name="TranslatedLang" ma:index="33" nillable="true" ma:displayName="Translated Language" ma:internalName="TranslatedLang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53a2e-f2ad-401e-ad3b-f695ae178b13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3b49676e-9fa7-4f23-b24b-9e1c68e57baf}" ma:internalName="TaxCatchAll" ma:showField="CatchAllData" ma:web="79b53a2e-f2ad-401e-ad3b-f695ae178b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ching_x0020_Aid xmlns="5be466aa-9221-4526-8a51-40bb3c3e9733">Training Doc</Teaching_x0020_Aid>
    <Progress xmlns="5be466aa-9221-4526-8a51-40bb3c3e9733" xsi:nil="true"/>
    <MigrationWizIdPermissionLevels xmlns="5be466aa-9221-4526-8a51-40bb3c3e9733" xsi:nil="true"/>
    <MigrationWizIdPermissions xmlns="5be466aa-9221-4526-8a51-40bb3c3e9733" xsi:nil="true"/>
    <MigrationWizIdDocumentLibraryPermissions xmlns="5be466aa-9221-4526-8a51-40bb3c3e9733" xsi:nil="true"/>
    <MigrationWizIdSecurityGroups xmlns="5be466aa-9221-4526-8a51-40bb3c3e9733" xsi:nil="true"/>
    <MigrationWizIdVersion xmlns="5be466aa-9221-4526-8a51-40bb3c3e9733" xsi:nil="true"/>
    <MigrationWizId xmlns="5be466aa-9221-4526-8a51-40bb3c3e9733">3fda5167-a2e2-4db3-ae72-44ac5755bd70</MigrationWizId>
    <lcf76f155ced4ddcb4097134ff3c332f1 xmlns="5be466aa-9221-4526-8a51-40bb3c3e9733" xsi:nil="true"/>
    <lcf76f155ced4ddcb4097134ff3c332f0 xmlns="5be466aa-9221-4526-8a51-40bb3c3e9733" xsi:nil="true"/>
    <lcf76f155ced4ddcb4097134ff3c332f xmlns="5be466aa-9221-4526-8a51-40bb3c3e9733">
      <Terms xmlns="http://schemas.microsoft.com/office/infopath/2007/PartnerControls"/>
    </lcf76f155ced4ddcb4097134ff3c332f>
    <TaxCatchAll xmlns="79b53a2e-f2ad-401e-ad3b-f695ae178b13" xsi:nil="true"/>
    <TranslatedLang xmlns="5be466aa-9221-4526-8a51-40bb3c3e9733" xsi:nil="true"/>
  </documentManagement>
</p:properties>
</file>

<file path=customXml/itemProps1.xml><?xml version="1.0" encoding="utf-8"?>
<ds:datastoreItem xmlns:ds="http://schemas.openxmlformats.org/officeDocument/2006/customXml" ds:itemID="{F3E164D7-ECEF-4B8E-AD69-60C6F55C403D}"/>
</file>

<file path=customXml/itemProps2.xml><?xml version="1.0" encoding="utf-8"?>
<ds:datastoreItem xmlns:ds="http://schemas.openxmlformats.org/officeDocument/2006/customXml" ds:itemID="{3F09B61E-386B-47F7-BE99-C49C915E82CF}"/>
</file>

<file path=customXml/itemProps3.xml><?xml version="1.0" encoding="utf-8"?>
<ds:datastoreItem xmlns:ds="http://schemas.openxmlformats.org/officeDocument/2006/customXml" ds:itemID="{1BC271D5-A722-4A28-A015-5CB3ECD44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Liz Blake</dc:creator>
  <cp:keywords/>
  <dc:description/>
  <cp:lastModifiedBy>Rory Steel</cp:lastModifiedBy>
  <cp:revision/>
  <dcterms:created xsi:type="dcterms:W3CDTF">2018-12-22T17:32:00Z</dcterms:created>
  <dcterms:modified xsi:type="dcterms:W3CDTF">2025-08-04T07:52:06Z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0x010100B7B4EA066C29E94CB40A809408264F39</vt:lpwstr>
  </property>
  <property fmtid="{D5CDD505-2E9C-101B-9397-08002B2CF9AE}" pid="3" name="Stage">
    <vt:lpwstr>Not Started</vt:lpwstr>
  </property>
  <property fmtid="{D5CDD505-2E9C-101B-9397-08002B2CF9AE}" pid="4" name="MediaServiceImageTags">
    <vt:lpwstr/>
  </property>
  <property fmtid="{D5CDD505-2E9C-101B-9397-08002B2CF9AE}" pid="5" name="Order">
    <vt:r8>3400</vt:r8>
  </property>
</Properties>
</file>